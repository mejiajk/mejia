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STINGS " sheetId="1" state="visible" r:id="rId1"/>
    <sheet xmlns:r="http://schemas.openxmlformats.org/officeDocument/2006/relationships" name="INSTAGRAMS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10">
    <font>
      <name val="Aptos Narrow"/>
      <family val="2"/>
      <color theme="1"/>
      <sz val="12"/>
      <scheme val="minor"/>
    </font>
    <font>
      <name val="Aptos"/>
      <b val="1"/>
      <color rgb="FFFFFFFF"/>
      <sz val="12"/>
    </font>
    <font>
      <name val="Aptos"/>
      <color rgb="FF000000"/>
      <sz val="12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FF"/>
      <sz val="12"/>
      <scheme val="minor"/>
    </font>
    <font>
      <name val="Aptos"/>
      <color theme="1"/>
      <sz val="12"/>
    </font>
    <font>
      <name val="Aptos"/>
      <b val="1"/>
      <color rgb="FF262626"/>
      <sz val="16"/>
    </font>
    <font>
      <name val="Aptos"/>
      <b val="1"/>
      <color rgb="FF262626"/>
      <sz val="14"/>
    </font>
    <font>
      <name val="Aptos"/>
      <b val="1"/>
      <color rgb="FF000000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0" borderId="0" pivotButton="0" quotePrefix="0" xfId="0"/>
    <xf numFmtId="49" fontId="5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</cellXfs>
  <cellStyles count="2">
    <cellStyle name="Normal" xfId="0" builtinId="0"/>
    <cellStyle name="Hipervínculo" xfId="1" builtinId="8"/>
  </cellStyles>
  <dxfs count="17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name val="Aptos"/>
        <sz val="12"/>
      </font>
      <alignment horizontal="center" vertical="center"/>
    </dxf>
    <dxf>
      <font>
        <name val="Aptos"/>
        <sz val="12"/>
      </font>
      <numFmt numFmtId="30" formatCode="@"/>
      <alignment vertical="center"/>
    </dxf>
    <dxf>
      <font>
        <name val="Aptos"/>
        <sz val="12"/>
      </font>
      <numFmt numFmtId="0" formatCode="General"/>
      <alignment horizontal="center" vertical="center"/>
    </dxf>
    <dxf>
      <font>
        <name val="Aptos"/>
        <sz val="12"/>
      </font>
      <alignment vertical="center"/>
    </dxf>
    <dxf>
      <font>
        <name val="Aptos"/>
        <b val="1"/>
        <color rgb="FFFFFFFF"/>
        <sz val="12"/>
      </font>
      <alignment vertical="center"/>
    </dxf>
    <dxf>
      <font>
        <color rgb="FF0000FF"/>
        <sz val="12"/>
      </font>
      <alignment horizontal="center" vertical="center"/>
    </dxf>
    <dxf>
      <font>
        <name val="Aptos"/>
        <color rgb="FF000000"/>
        <sz val="12"/>
      </font>
      <numFmt numFmtId="0" formatCode="General"/>
      <alignment horizontal="center" vertical="center"/>
    </dxf>
    <dxf>
      <font>
        <name val="Aptos"/>
        <strike val="0"/>
        <outline val="0"/>
        <shadow val="0"/>
        <condense val="0"/>
        <color theme="1"/>
        <extend val="0"/>
        <sz val="12"/>
        <vertAlign val="baseline"/>
      </font>
      <alignment vertical="center"/>
    </dxf>
    <dxf>
      <font>
        <sz val="12"/>
      </font>
      <alignment vertical="center"/>
    </dxf>
    <dxf>
      <font>
        <name val="Aptos"/>
        <color rgb="FF000000"/>
        <sz val="12"/>
      </font>
      <numFmt numFmtId="0" formatCode="General"/>
      <alignment horizontal="center" vertical="center"/>
    </dxf>
    <dxf>
      <font>
        <sz val="12"/>
      </font>
      <alignment vertical="center"/>
    </dxf>
    <dxf>
      <font>
        <name val="Aptos"/>
        <b val="1"/>
        <color rgb="FFFFFFFF"/>
        <sz val="12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ostings" displayName="Hostings" ref="A2:H71" headerRowCount="1" totalsRowShown="0" headerRowDxfId="16" dataDxfId="15">
  <autoFilter ref="A2:H71"/>
  <tableColumns count="8">
    <tableColumn id="1" name="#" dataDxfId="14">
      <calculatedColumnFormula array="1">ROW()-ROW(Hostings[#Headers])</calculatedColumnFormula>
    </tableColumn>
    <tableColumn id="2" name="Dominio" dataDxfId="13"/>
    <tableColumn id="3" name="Proyecto" dataDxfId="12"/>
    <tableColumn id="4" name="Tipo" dataDxfId="11">
      <calculatedColumnFormula>IF(LEN(Hostings[[#This Row],[Dominio]])-LEN(SUBSTITUTE(Hostings[[#This Row],[Dominio]],".",""))&gt;IF(RIGHT(Hostings[[#This Row],[Dominio]],3)=".pa",2,1),"Subdominio","Principal")</calculatedColumnFormula>
    </tableColumn>
    <tableColumn id="5" name="Estado" dataDxfId="10"/>
    <tableColumn id="6" name="Recomendación SEO"/>
    <tableColumn id="7" name="Motivo"/>
    <tableColumn id="8" name="Datos a verificar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Instagram" displayName="Instagram" ref="A2:C34" headerRowCount="1" totalsRowShown="0" headerRowDxfId="9" dataDxfId="8">
  <autoFilter ref="A2:C34"/>
  <tableColumns count="3">
    <tableColumn id="1" name="#" dataDxfId="7">
      <calculatedColumnFormula array="1">ROW()-ROW(Instagram[#Headers])</calculatedColumnFormula>
    </tableColumn>
    <tableColumn id="2" name="Cuenta" dataDxfId="6"/>
    <tableColumn id="4" name="Status" dataDxfId="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albrookbowling.com/" TargetMode="External" Id="rId1"/><Relationship Type="http://schemas.openxmlformats.org/officeDocument/2006/relationships/hyperlink" Target="http://albrookmall.com/" TargetMode="External" Id="rId2"/><Relationship Type="http://schemas.openxmlformats.org/officeDocument/2006/relationships/hyperlink" Target="http://tombola.albrookmall.com/" TargetMode="External" Id="rId3"/><Relationship Type="http://schemas.openxmlformats.org/officeDocument/2006/relationships/hyperlink" Target="http://armoniapanama.com/" TargetMode="External" Id="rId4"/><Relationship Type="http://schemas.openxmlformats.org/officeDocument/2006/relationships/hyperlink" Target="http://balboadistrict.armoniapanama.com/" TargetMode="External" Id="rId5"/><Relationship Type="http://schemas.openxmlformats.org/officeDocument/2006/relationships/hyperlink" Target="http://bayclubpanama.com/" TargetMode="External" Id="rId6"/><Relationship Type="http://schemas.openxmlformats.org/officeDocument/2006/relationships/hyperlink" Target="http://baysidepanama.com/" TargetMode="External" Id="rId7"/><Relationship Type="http://schemas.openxmlformats.org/officeDocument/2006/relationships/hyperlink" Target="http://lotes.baysidepanama.com/" TargetMode="External" Id="rId8"/><Relationship Type="http://schemas.openxmlformats.org/officeDocument/2006/relationships/hyperlink" Target="http://vive.baysidepanama.com/" TargetMode="External" Id="rId9"/><Relationship Type="http://schemas.openxmlformats.org/officeDocument/2006/relationships/hyperlink" Target="http://boscodisantamaria.com/" TargetMode="External" Id="rId10"/><Relationship Type="http://schemas.openxmlformats.org/officeDocument/2006/relationships/hyperlink" Target="http://go.boscodisantamaria.com/" TargetMode="External" Id="rId11"/><Relationship Type="http://schemas.openxmlformats.org/officeDocument/2006/relationships/hyperlink" Target="http://reservas.boscodisantamaria.com/" TargetMode="External" Id="rId12"/><Relationship Type="http://schemas.openxmlformats.org/officeDocument/2006/relationships/hyperlink" Target="http://saladeventas.boscodisantamaria.com/" TargetMode="External" Id="rId13"/><Relationship Type="http://schemas.openxmlformats.org/officeDocument/2006/relationships/hyperlink" Target="http://federalmall.com.pa/" TargetMode="External" Id="rId14"/><Relationship Type="http://schemas.openxmlformats.org/officeDocument/2006/relationships/hyperlink" Target="http://glp.com.pa/" TargetMode="External" Id="rId15"/><Relationship Type="http://schemas.openxmlformats.org/officeDocument/2006/relationships/hyperlink" Target="http://glpinternationalsales.com/" TargetMode="External" Id="rId16"/><Relationship Type="http://schemas.openxmlformats.org/officeDocument/2006/relationships/hyperlink" Target="http://glppanamaresidency.com/" TargetMode="External" Id="rId17"/><Relationship Type="http://schemas.openxmlformats.org/officeDocument/2006/relationships/hyperlink" Target="http://grantnt.com/" TargetMode="External" Id="rId18"/><Relationship Type="http://schemas.openxmlformats.org/officeDocument/2006/relationships/hyperlink" Target="http://ipanemaresidences.com/" TargetMode="External" Id="rId19"/><Relationship Type="http://schemas.openxmlformats.org/officeDocument/2006/relationships/hyperlink" Target="http://jardinesdelaespinoza.com/" TargetMode="External" Id="rId20"/><Relationship Type="http://schemas.openxmlformats.org/officeDocument/2006/relationships/hyperlink" Target="http://johnnyandreds.com/" TargetMode="External" Id="rId21"/><Relationship Type="http://schemas.openxmlformats.org/officeDocument/2006/relationships/hyperlink" Target="http://metrolibre.com/" TargetMode="External" Id="rId22"/><Relationship Type="http://schemas.openxmlformats.org/officeDocument/2006/relationships/hyperlink" Target="http://oceanfrontpty.com/" TargetMode="External" Id="rId23"/><Relationship Type="http://schemas.openxmlformats.org/officeDocument/2006/relationships/hyperlink" Target="http://apartments.oceanreefpark.com/" TargetMode="External" Id="rId24"/><Relationship Type="http://schemas.openxmlformats.org/officeDocument/2006/relationships/hyperlink" Target="http://casadelmar.oceanreefislands.com/" TargetMode="External" Id="rId25"/><Relationship Type="http://schemas.openxmlformats.org/officeDocument/2006/relationships/hyperlink" Target="http://cityvillas.oceanreefislands.com/" TargetMode="External" Id="rId26"/><Relationship Type="http://schemas.openxmlformats.org/officeDocument/2006/relationships/hyperlink" Target="http://general.oceanreefislands.com/" TargetMode="External" Id="rId27"/><Relationship Type="http://schemas.openxmlformats.org/officeDocument/2006/relationships/hyperlink" Target="http://lifestyle.oceanreefislands.com/" TargetMode="External" Id="rId28"/><Relationship Type="http://schemas.openxmlformats.org/officeDocument/2006/relationships/hyperlink" Target="http://oceanreefislands.com/" TargetMode="External" Id="rId29"/><Relationship Type="http://schemas.openxmlformats.org/officeDocument/2006/relationships/hyperlink" Target="http://oceanreefmarina.com.pa/" TargetMode="External" Id="rId30"/><Relationship Type="http://schemas.openxmlformats.org/officeDocument/2006/relationships/hyperlink" Target="http://oclubresidences.com/" TargetMode="External" Id="rId31"/><Relationship Type="http://schemas.openxmlformats.org/officeDocument/2006/relationships/hyperlink" Target="http://rentals.oceanreefislands.com/" TargetMode="External" Id="rId32"/><Relationship Type="http://schemas.openxmlformats.org/officeDocument/2006/relationships/hyperlink" Target="http://seascape.oceanreefislands.com/" TargetMode="External" Id="rId33"/><Relationship Type="http://schemas.openxmlformats.org/officeDocument/2006/relationships/hyperlink" Target="http://thepalmsbeachresort.oceanreefislands.com/" TargetMode="External" Id="rId34"/><Relationship Type="http://schemas.openxmlformats.org/officeDocument/2006/relationships/hyperlink" Target="http://townhouses.oceanreefpark.com/" TargetMode="External" Id="rId35"/><Relationship Type="http://schemas.openxmlformats.org/officeDocument/2006/relationships/hyperlink" Target="http://oceanseriessantamaria.com/" TargetMode="External" Id="rId36"/><Relationship Type="http://schemas.openxmlformats.org/officeDocument/2006/relationships/hyperlink" Target="http://oceanasantamaria.com/" TargetMode="External" Id="rId37"/><Relationship Type="http://schemas.openxmlformats.org/officeDocument/2006/relationships/hyperlink" Target="http://penthousescollection.oceanasantamaria.com/" TargetMode="External" Id="rId38"/><Relationship Type="http://schemas.openxmlformats.org/officeDocument/2006/relationships/hyperlink" Target="http://superbliving.oceanasantamaria.com/" TargetMode="External" Id="rId39"/><Relationship Type="http://schemas.openxmlformats.org/officeDocument/2006/relationships/hyperlink" Target="http://panamaviejobusinesscenter.com/" TargetMode="External" Id="rId40"/><Relationship Type="http://schemas.openxmlformats.org/officeDocument/2006/relationships/hyperlink" Target="http://panamaviejoresidences.com/" TargetMode="External" Id="rId41"/><Relationship Type="http://schemas.openxmlformats.org/officeDocument/2006/relationships/hyperlink" Target="http://beachwalkplayacaracol.com/" TargetMode="External" Id="rId42"/><Relationship Type="http://schemas.openxmlformats.org/officeDocument/2006/relationships/hyperlink" Target="http://caracollifestyle.com/" TargetMode="External" Id="rId43"/><Relationship Type="http://schemas.openxmlformats.org/officeDocument/2006/relationships/hyperlink" Target="http://colecciondelmar.com/" TargetMode="External" Id="rId44"/><Relationship Type="http://schemas.openxmlformats.org/officeDocument/2006/relationships/hyperlink" Target="http://colombia.playacaracolresorts.com/" TargetMode="External" Id="rId45"/><Relationship Type="http://schemas.openxmlformats.org/officeDocument/2006/relationships/hyperlink" Target="http://discoverplayacaracol.com/" TargetMode="External" Id="rId46"/><Relationship Type="http://schemas.openxmlformats.org/officeDocument/2006/relationships/hyperlink" Target="http://explora.playacaracolresidences.com/" TargetMode="External" Id="rId47"/><Relationship Type="http://schemas.openxmlformats.org/officeDocument/2006/relationships/hyperlink" Target="http://horizonsescapes.com/" TargetMode="External" Id="rId48"/><Relationship Type="http://schemas.openxmlformats.org/officeDocument/2006/relationships/hyperlink" Target="http://infoplayacaracol.com/" TargetMode="External" Id="rId49"/><Relationship Type="http://schemas.openxmlformats.org/officeDocument/2006/relationships/hyperlink" Target="http://international.playacaracolrentals.com/" TargetMode="External" Id="rId50"/><Relationship Type="http://schemas.openxmlformats.org/officeDocument/2006/relationships/hyperlink" Target="http://playacaracolrentals.com/" TargetMode="External" Id="rId51"/><Relationship Type="http://schemas.openxmlformats.org/officeDocument/2006/relationships/hyperlink" Target="http://playacaracolresidences.com/" TargetMode="External" Id="rId52"/><Relationship Type="http://schemas.openxmlformats.org/officeDocument/2006/relationships/hyperlink" Target="http://playacaracolresorts.com/" TargetMode="External" Id="rId53"/><Relationship Type="http://schemas.openxmlformats.org/officeDocument/2006/relationships/hyperlink" Target="http://seashoreplayacaracol.com/" TargetMode="External" Id="rId54"/><Relationship Type="http://schemas.openxmlformats.org/officeDocument/2006/relationships/hyperlink" Target="http://surfsideplayacaracol.com/" TargetMode="External" Id="rId55"/><Relationship Type="http://schemas.openxmlformats.org/officeDocument/2006/relationships/hyperlink" Target="http://thetidesatcaracol.com/" TargetMode="External" Id="rId56"/><Relationship Type="http://schemas.openxmlformats.org/officeDocument/2006/relationships/hyperlink" Target="http://playadorada.com.pa/" TargetMode="External" Id="rId57"/><Relationship Type="http://schemas.openxmlformats.org/officeDocument/2006/relationships/hyperlink" Target="http://playadoradaresidences.com/" TargetMode="External" Id="rId58"/><Relationship Type="http://schemas.openxmlformats.org/officeDocument/2006/relationships/hyperlink" Target="http://ribera.playadoradaresidences.com/" TargetMode="External" Id="rId59"/><Relationship Type="http://schemas.openxmlformats.org/officeDocument/2006/relationships/hyperlink" Target="http://international.radissonrivierapanama.com/" TargetMode="External" Id="rId60"/><Relationship Type="http://schemas.openxmlformats.org/officeDocument/2006/relationships/hyperlink" Target="http://radissonrivierapanama.com/" TargetMode="External" Id="rId61"/><Relationship Type="http://schemas.openxmlformats.org/officeDocument/2006/relationships/hyperlink" Target="http://servicioscomunitarios.com.pa/" TargetMode="External" Id="rId62"/><Relationship Type="http://schemas.openxmlformats.org/officeDocument/2006/relationships/hyperlink" Target="http://space.com.pa/" TargetMode="External" Id="rId63"/><Relationship Type="http://schemas.openxmlformats.org/officeDocument/2006/relationships/hyperlink" Target="http://supremestorage.net/" TargetMode="External" Id="rId64"/><Relationship Type="http://schemas.openxmlformats.org/officeDocument/2006/relationships/hyperlink" Target="http://go.ventuhomtel.com/" TargetMode="External" Id="rId65"/><Relationship Type="http://schemas.openxmlformats.org/officeDocument/2006/relationships/hyperlink" Target="http://gracias.ventuhomtel.com/" TargetMode="External" Id="rId66"/><Relationship Type="http://schemas.openxmlformats.org/officeDocument/2006/relationships/hyperlink" Target="http://portafolio.ventuhomtel.com/" TargetMode="External" Id="rId67"/><Relationship Type="http://schemas.openxmlformats.org/officeDocument/2006/relationships/hyperlink" Target="http://ventuhomtel.com/" TargetMode="External" Id="rId68"/><Relationship Type="http://schemas.openxmlformats.org/officeDocument/2006/relationships/hyperlink" Target="http://westlandmall.com.pa/" TargetMode="External" Id="rId69"/><Relationship Type="http://schemas.openxmlformats.org/officeDocument/2006/relationships/table" Target="/xl/tables/table1.xml" Id="rId70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tabSelected="1" workbookViewId="0">
      <pane ySplit="2" topLeftCell="A3" activePane="bottomLeft" state="frozen"/>
      <selection pane="bottomLeft" activeCell="B74" sqref="B74:F78"/>
    </sheetView>
  </sheetViews>
  <sheetFormatPr baseColWidth="10" defaultRowHeight="15.75"/>
  <cols>
    <col width="5.75" customWidth="1" min="1" max="1"/>
    <col width="45" customWidth="1" min="2" max="2"/>
    <col width="28.25" customWidth="1" min="3" max="3"/>
    <col width="15.75" customWidth="1" min="4" max="5"/>
    <col width="20" customWidth="1" min="6" max="6"/>
    <col width="70" customWidth="1" min="7" max="7"/>
    <col width="38" customWidth="1" min="8" max="8"/>
  </cols>
  <sheetData>
    <row r="1" ht="21" customHeight="1">
      <c r="A1" s="21" t="inlineStr">
        <is>
          <t>Control de Hostings Activos</t>
        </is>
      </c>
    </row>
    <row r="2" ht="19.9" customHeight="1">
      <c r="A2" s="4" t="inlineStr">
        <is>
          <t>#</t>
        </is>
      </c>
      <c r="B2" s="1" t="inlineStr">
        <is>
          <t>Dominio</t>
        </is>
      </c>
      <c r="C2" s="1" t="inlineStr">
        <is>
          <t>Proyecto</t>
        </is>
      </c>
      <c r="D2" s="4" t="inlineStr">
        <is>
          <t>Tipo</t>
        </is>
      </c>
      <c r="E2" s="4" t="inlineStr">
        <is>
          <t>Estado</t>
        </is>
      </c>
      <c r="F2" s="4" t="inlineStr">
        <is>
          <t>Recomendación SEO</t>
        </is>
      </c>
      <c r="G2" s="4" t="inlineStr">
        <is>
          <t>Motivo</t>
        </is>
      </c>
      <c r="H2" s="4" t="inlineStr">
        <is>
          <t>Datos a verificar</t>
        </is>
      </c>
    </row>
    <row r="3" ht="19.9" customHeight="1">
      <c r="A3" s="7">
        <f t="array" ref="A3">ROW()-ROW(Hostings[#Headers])</f>
        <v/>
      </c>
      <c r="B3" s="2" t="inlineStr">
        <is>
          <t>albrookbowling.com</t>
        </is>
      </c>
      <c r="C3" s="3" t="inlineStr">
        <is>
          <t>Albrook Bowling</t>
        </is>
      </c>
      <c r="D3" s="7">
        <f>IF(LEN(Hostings[[#This Row],[Dominio]])-LEN(SUBSTITUTE(Hostings[[#This Row],[Dominio]],".",""))&gt;IF(RIGHT(Hostings[[#This Row],[Dominio]],3)=".pa",2,1),"Subdominio","Principal")</f>
        <v/>
      </c>
      <c r="E3" s="5" t="inlineStr">
        <is>
          <t>Activo</t>
        </is>
      </c>
      <c r="F3" s="22" t="inlineStr">
        <is>
          <t>Dejar</t>
        </is>
      </c>
      <c r="G3" s="5" t="inlineStr">
        <is>
          <t>Marca principal, dominio exacto del negocio</t>
        </is>
      </c>
      <c r="H3" s="5" t="inlineStr">
        <is>
          <t>Indexación (GSC/site:), backlinks y dominios de referencia (Ahrefs/Semrush)</t>
        </is>
      </c>
    </row>
    <row r="4" ht="19.9" customHeight="1">
      <c r="A4" s="7">
        <f t="array" ref="A4">ROW()-ROW(Hostings[#Headers])</f>
        <v/>
      </c>
      <c r="B4" s="2" t="inlineStr">
        <is>
          <t>albrookmall.com</t>
        </is>
      </c>
      <c r="C4" s="3" t="inlineStr">
        <is>
          <t>Albrook Mall</t>
        </is>
      </c>
      <c r="D4" s="7">
        <f>IF(LEN(Hostings[[#This Row],[Dominio]])-LEN(SUBSTITUTE(Hostings[[#This Row],[Dominio]],".",""))&gt;IF(RIGHT(Hostings[[#This Row],[Dominio]],3)=".pa",2,1),"Subdominio","Principal")</f>
        <v/>
      </c>
      <c r="E4" s="5" t="inlineStr">
        <is>
          <t>Activo</t>
        </is>
      </c>
      <c r="F4" s="22" t="inlineStr">
        <is>
          <t>Dejar</t>
        </is>
      </c>
      <c r="G4" s="5" t="inlineStr">
        <is>
          <t>Marca de alto tráfico y búsquedas de marca; sostiene subdominios activos</t>
        </is>
      </c>
      <c r="H4" s="5" t="inlineStr">
        <is>
          <t>Indexación (GSC/site:), backlinks y dominios de referencia (Ahrefs/Semrush)</t>
        </is>
      </c>
    </row>
    <row r="5" ht="19.9" customHeight="1">
      <c r="A5" s="7">
        <f t="array" ref="A5">ROW()-ROW(Hostings[#Headers])</f>
        <v/>
      </c>
      <c r="B5" s="2" t="inlineStr">
        <is>
          <t>tombola.albrookmall.com</t>
        </is>
      </c>
      <c r="C5" s="3" t="inlineStr">
        <is>
          <t>Albrook Mall</t>
        </is>
      </c>
      <c r="D5" s="7">
        <f>IF(LEN(Hostings[[#This Row],[Dominio]])-LEN(SUBSTITUTE(Hostings[[#This Row],[Dominio]],".",""))&gt;IF(RIGHT(Hostings[[#This Row],[Dominio]],3)=".pa",2,1),"Subdominio","Principal")</f>
        <v/>
      </c>
      <c r="E5" s="5" t="inlineStr">
        <is>
          <t>Activo</t>
        </is>
      </c>
      <c r="F5" s="5" t="inlineStr">
        <is>
          <t>Dejar (sigue a raíz)</t>
        </is>
      </c>
      <c r="G5" s="5" t="inlineStr">
        <is>
          <t>Subdominio activo: se conserva mientras se renueve albrookmall.com</t>
        </is>
      </c>
      <c r="H5" s="5" t="inlineStr"/>
    </row>
    <row r="6" ht="19.9" customHeight="1">
      <c r="A6" s="7">
        <f t="array" ref="A6">ROW()-ROW(Hostings[#Headers])</f>
        <v/>
      </c>
      <c r="B6" s="2" t="inlineStr">
        <is>
          <t>armoniapanama.com</t>
        </is>
      </c>
      <c r="C6" s="3" t="inlineStr">
        <is>
          <t>Armonia</t>
        </is>
      </c>
      <c r="D6" s="7">
        <f>IF(LEN(Hostings[[#This Row],[Dominio]])-LEN(SUBSTITUTE(Hostings[[#This Row],[Dominio]],".",""))&gt;IF(RIGHT(Hostings[[#This Row],[Dominio]],3)=".pa",2,1),"Subdominio","Principal")</f>
        <v/>
      </c>
      <c r="E6" s="5" t="inlineStr">
        <is>
          <t>Activo</t>
        </is>
      </c>
      <c r="F6" s="22" t="inlineStr">
        <is>
          <t>Dejar</t>
        </is>
      </c>
      <c r="G6" s="5" t="inlineStr">
        <is>
          <t>Dominio principal del proyecto</t>
        </is>
      </c>
      <c r="H6" s="5" t="inlineStr">
        <is>
          <t>Indexación (GSC/site:), backlinks y dominios de referencia (Ahrefs/Semrush)</t>
        </is>
      </c>
    </row>
    <row r="7" ht="19.9" customHeight="1">
      <c r="A7" s="7">
        <f t="array" ref="A7">ROW()-ROW(Hostings[#Headers])</f>
        <v/>
      </c>
      <c r="B7" s="2" t="inlineStr">
        <is>
          <t>balboadistrict.armoniapanama.com</t>
        </is>
      </c>
      <c r="C7" s="3" t="inlineStr">
        <is>
          <t>Armonia</t>
        </is>
      </c>
      <c r="D7" s="7">
        <f>IF(LEN(Hostings[[#This Row],[Dominio]])-LEN(SUBSTITUTE(Hostings[[#This Row],[Dominio]],".",""))&gt;IF(RIGHT(Hostings[[#This Row],[Dominio]],3)=".pa",2,1),"Subdominio","Principal")</f>
        <v/>
      </c>
      <c r="E7" s="5" t="inlineStr">
        <is>
          <t>Cancelar</t>
        </is>
      </c>
      <c r="F7" s="5" t="inlineStr">
        <is>
          <t>Quitar del hosting</t>
        </is>
      </c>
      <c r="G7" s="5" t="inlineStr">
        <is>
          <t>Subdominio ya marcado como Cancelar; no afecta renovación (depende de armoniapanama.com)</t>
        </is>
      </c>
      <c r="H7" s="5" t="inlineStr"/>
    </row>
    <row r="8" ht="19.9" customHeight="1">
      <c r="A8" s="7">
        <f t="array" ref="A8">ROW()-ROW(Hostings[#Headers])</f>
        <v/>
      </c>
      <c r="B8" s="2" t="inlineStr">
        <is>
          <t>bayclubpanama.com</t>
        </is>
      </c>
      <c r="C8" s="3" t="inlineStr">
        <is>
          <t>Bay Club</t>
        </is>
      </c>
      <c r="D8" s="7">
        <f>IF(LEN(Hostings[[#This Row],[Dominio]])-LEN(SUBSTITUTE(Hostings[[#This Row],[Dominio]],".",""))&gt;IF(RIGHT(Hostings[[#This Row],[Dominio]],3)=".pa",2,1),"Subdominio","Principal")</f>
        <v/>
      </c>
      <c r="E8" s="5" t="inlineStr">
        <is>
          <t>Activo</t>
        </is>
      </c>
      <c r="F8" s="22" t="inlineStr">
        <is>
          <t>Dejar</t>
        </is>
      </c>
      <c r="G8" s="5" t="inlineStr">
        <is>
          <t>Dominio principal del proyecto</t>
        </is>
      </c>
      <c r="H8" s="5" t="inlineStr">
        <is>
          <t>Indexación (GSC/site:), backlinks y dominios de referencia (Ahrefs/Semrush)</t>
        </is>
      </c>
    </row>
    <row r="9" ht="19.9" customHeight="1">
      <c r="A9" s="7">
        <f t="array" ref="A9">ROW()-ROW(Hostings[#Headers])</f>
        <v/>
      </c>
      <c r="B9" s="2" t="inlineStr">
        <is>
          <t>baysidepanama.com</t>
        </is>
      </c>
      <c r="C9" s="3" t="inlineStr">
        <is>
          <t>Bayside</t>
        </is>
      </c>
      <c r="D9" s="7">
        <f>IF(LEN(Hostings[[#This Row],[Dominio]])-LEN(SUBSTITUTE(Hostings[[#This Row],[Dominio]],".",""))&gt;IF(RIGHT(Hostings[[#This Row],[Dominio]],3)=".pa",2,1),"Subdominio","Principal")</f>
        <v/>
      </c>
      <c r="E9" s="5" t="inlineStr">
        <is>
          <t>Activo</t>
        </is>
      </c>
      <c r="F9" s="22" t="inlineStr">
        <is>
          <t>Dejar</t>
        </is>
      </c>
      <c r="G9" s="5" t="inlineStr">
        <is>
          <t>Dominio principal; sostiene 2 subdominios activos</t>
        </is>
      </c>
      <c r="H9" s="5" t="inlineStr">
        <is>
          <t>Indexación (GSC/site:), backlinks y dominios de referencia (Ahrefs/Semrush)</t>
        </is>
      </c>
    </row>
    <row r="10" ht="19.9" customHeight="1">
      <c r="A10" s="7">
        <f t="array" ref="A10">ROW()-ROW(Hostings[#Headers])</f>
        <v/>
      </c>
      <c r="B10" s="2" t="inlineStr">
        <is>
          <t>lotes.baysidepanama.com</t>
        </is>
      </c>
      <c r="C10" s="3" t="inlineStr">
        <is>
          <t>Bayside</t>
        </is>
      </c>
      <c r="D10" s="7">
        <f>IF(LEN(Hostings[[#This Row],[Dominio]])-LEN(SUBSTITUTE(Hostings[[#This Row],[Dominio]],".",""))&gt;IF(RIGHT(Hostings[[#This Row],[Dominio]],3)=".pa",2,1),"Subdominio","Principal")</f>
        <v/>
      </c>
      <c r="E10" s="5" t="inlineStr">
        <is>
          <t>Activo</t>
        </is>
      </c>
      <c r="F10" s="5" t="inlineStr">
        <is>
          <t>Dejar (sigue a raíz)</t>
        </is>
      </c>
      <c r="G10" s="5" t="inlineStr">
        <is>
          <t>Subdominio activo: se conserva mientras se renueve baysidepanama.com</t>
        </is>
      </c>
      <c r="H10" s="5" t="inlineStr"/>
    </row>
    <row r="11" ht="19.9" customHeight="1">
      <c r="A11" s="7">
        <f t="array" ref="A11">ROW()-ROW(Hostings[#Headers])</f>
        <v/>
      </c>
      <c r="B11" s="2" t="inlineStr">
        <is>
          <t>vive.baysidepanama.com</t>
        </is>
      </c>
      <c r="C11" s="3" t="inlineStr">
        <is>
          <t>Bayside</t>
        </is>
      </c>
      <c r="D11" s="7">
        <f>IF(LEN(Hostings[[#This Row],[Dominio]])-LEN(SUBSTITUTE(Hostings[[#This Row],[Dominio]],".",""))&gt;IF(RIGHT(Hostings[[#This Row],[Dominio]],3)=".pa",2,1),"Subdominio","Principal")</f>
        <v/>
      </c>
      <c r="E11" s="5" t="inlineStr">
        <is>
          <t>Activo</t>
        </is>
      </c>
      <c r="F11" s="5" t="inlineStr">
        <is>
          <t>Dejar (sigue a raíz)</t>
        </is>
      </c>
      <c r="G11" s="5" t="inlineStr">
        <is>
          <t>Subdominio activo: se conserva mientras se renueve baysidepanama.com</t>
        </is>
      </c>
      <c r="H11" s="5" t="inlineStr"/>
    </row>
    <row r="12" ht="19.9" customHeight="1">
      <c r="A12" s="7">
        <f t="array" ref="A12">ROW()-ROW(Hostings[#Headers])</f>
        <v/>
      </c>
      <c r="B12" s="2" t="inlineStr">
        <is>
          <t>boscodisantamaria.com</t>
        </is>
      </c>
      <c r="C12" s="3" t="inlineStr">
        <is>
          <t>Bosco di Santa María</t>
        </is>
      </c>
      <c r="D12" s="7">
        <f>IF(LEN(Hostings[[#This Row],[Dominio]])-LEN(SUBSTITUTE(Hostings[[#This Row],[Dominio]],".",""))&gt;IF(RIGHT(Hostings[[#This Row],[Dominio]],3)=".pa",2,1),"Subdominio","Principal")</f>
        <v/>
      </c>
      <c r="E12" s="5" t="inlineStr">
        <is>
          <t>Activo</t>
        </is>
      </c>
      <c r="F12" s="22" t="inlineStr">
        <is>
          <t>Dejar</t>
        </is>
      </c>
      <c r="G12" s="5" t="inlineStr">
        <is>
          <t>Dominio principal; sostiene 3 subdominios activos</t>
        </is>
      </c>
      <c r="H12" s="5" t="inlineStr">
        <is>
          <t>Indexación (GSC/site:), backlinks y dominios de referencia (Ahrefs/Semrush)</t>
        </is>
      </c>
    </row>
    <row r="13" ht="19.9" customHeight="1">
      <c r="A13" s="7">
        <f t="array" ref="A13">ROW()-ROW(Hostings[#Headers])</f>
        <v/>
      </c>
      <c r="B13" s="2" t="inlineStr">
        <is>
          <t>go.boscodisantamaria.com</t>
        </is>
      </c>
      <c r="C13" s="3" t="inlineStr">
        <is>
          <t>Bosco di Santa María</t>
        </is>
      </c>
      <c r="D13" s="7">
        <f>IF(LEN(Hostings[[#This Row],[Dominio]])-LEN(SUBSTITUTE(Hostings[[#This Row],[Dominio]],".",""))&gt;IF(RIGHT(Hostings[[#This Row],[Dominio]],3)=".pa",2,1),"Subdominio","Principal")</f>
        <v/>
      </c>
      <c r="E13" s="5" t="inlineStr">
        <is>
          <t>Activo</t>
        </is>
      </c>
      <c r="F13" s="5" t="inlineStr">
        <is>
          <t>Dejar (sigue a raíz)</t>
        </is>
      </c>
      <c r="G13" s="5" t="inlineStr">
        <is>
          <t>Subdominio activo: se conserva mientras se renueve boscodisantamaria.com</t>
        </is>
      </c>
      <c r="H13" s="5" t="inlineStr"/>
    </row>
    <row r="14" ht="19.9" customHeight="1">
      <c r="A14" s="7">
        <f t="array" ref="A14">ROW()-ROW(Hostings[#Headers])</f>
        <v/>
      </c>
      <c r="B14" s="2" t="inlineStr">
        <is>
          <t>reservas.boscodisantamaria.com</t>
        </is>
      </c>
      <c r="C14" s="3" t="inlineStr">
        <is>
          <t>Bosco di Santa María</t>
        </is>
      </c>
      <c r="D14" s="7">
        <f>IF(LEN(Hostings[[#This Row],[Dominio]])-LEN(SUBSTITUTE(Hostings[[#This Row],[Dominio]],".",""))&gt;IF(RIGHT(Hostings[[#This Row],[Dominio]],3)=".pa",2,1),"Subdominio","Principal")</f>
        <v/>
      </c>
      <c r="E14" s="5" t="inlineStr">
        <is>
          <t>Suspendido</t>
        </is>
      </c>
      <c r="F14" s="5" t="inlineStr">
        <is>
          <t>Dejar (sigue a raíz)</t>
        </is>
      </c>
      <c r="G14" s="5" t="inlineStr">
        <is>
          <t>Subdominio activo: se conserva mientras se renueve boscodisantamaria.com</t>
        </is>
      </c>
      <c r="H14" s="5" t="inlineStr"/>
    </row>
    <row r="15" ht="19.9" customHeight="1">
      <c r="A15" s="7">
        <f t="array" ref="A15">ROW()-ROW(Hostings[#Headers])</f>
        <v/>
      </c>
      <c r="B15" s="2" t="inlineStr">
        <is>
          <t>saladeventas.boscodisantamaria.com</t>
        </is>
      </c>
      <c r="C15" s="3" t="inlineStr">
        <is>
          <t>Bosco di Santa María</t>
        </is>
      </c>
      <c r="D15" s="7">
        <f>IF(LEN(Hostings[[#This Row],[Dominio]])-LEN(SUBSTITUTE(Hostings[[#This Row],[Dominio]],".",""))&gt;IF(RIGHT(Hostings[[#This Row],[Dominio]],3)=".pa",2,1),"Subdominio","Principal")</f>
        <v/>
      </c>
      <c r="E15" s="5" t="inlineStr">
        <is>
          <t>Activo</t>
        </is>
      </c>
      <c r="F15" s="5" t="inlineStr">
        <is>
          <t>Dejar (sigue a raíz)</t>
        </is>
      </c>
      <c r="G15" s="5" t="inlineStr">
        <is>
          <t>Subdominio activo: se conserva mientras se renueve boscodisantamaria.com</t>
        </is>
      </c>
      <c r="H15" s="5" t="inlineStr"/>
    </row>
    <row r="16" ht="19.9" customHeight="1">
      <c r="A16" s="7">
        <f t="array" ref="A16">ROW()-ROW(Hostings[#Headers])</f>
        <v/>
      </c>
      <c r="B16" s="2" t="inlineStr">
        <is>
          <t>federalmall.com.pa</t>
        </is>
      </c>
      <c r="C16" s="3" t="inlineStr">
        <is>
          <t>Federal Mall</t>
        </is>
      </c>
      <c r="D16" s="7">
        <f>IF(LEN(Hostings[[#This Row],[Dominio]])-LEN(SUBSTITUTE(Hostings[[#This Row],[Dominio]],".",""))&gt;IF(RIGHT(Hostings[[#This Row],[Dominio]],3)=".pa",2,1),"Subdominio","Principal")</f>
        <v/>
      </c>
      <c r="E16" s="5" t="inlineStr">
        <is>
          <t>Activo</t>
        </is>
      </c>
      <c r="F16" s="22" t="inlineStr">
        <is>
          <t>Dejar</t>
        </is>
      </c>
      <c r="G16" s="5" t="inlineStr">
        <is>
          <t>Marca de centro comercial, .com.pa local</t>
        </is>
      </c>
      <c r="H16" s="5" t="inlineStr">
        <is>
          <t>Indexación (GSC/site:), backlinks y dominios de referencia (Ahrefs/Semrush)</t>
        </is>
      </c>
    </row>
    <row r="17" ht="19.9" customHeight="1">
      <c r="A17" s="7">
        <f t="array" ref="A17">ROW()-ROW(Hostings[#Headers])</f>
        <v/>
      </c>
      <c r="B17" s="2" t="inlineStr">
        <is>
          <t>glp.com.pa</t>
        </is>
      </c>
      <c r="C17" s="3" t="inlineStr">
        <is>
          <t>GLP</t>
        </is>
      </c>
      <c r="D17" s="7">
        <f>IF(LEN(Hostings[[#This Row],[Dominio]])-LEN(SUBSTITUTE(Hostings[[#This Row],[Dominio]],".",""))&gt;IF(RIGHT(Hostings[[#This Row],[Dominio]],3)=".pa",2,1),"Subdominio","Principal")</f>
        <v/>
      </c>
      <c r="E17" s="5" t="inlineStr">
        <is>
          <t>Activo</t>
        </is>
      </c>
      <c r="F17" s="22" t="inlineStr">
        <is>
          <t>Dejar</t>
        </is>
      </c>
      <c r="G17" s="5" t="inlineStr">
        <is>
          <t>Dominio corporativo de la marca GLP</t>
        </is>
      </c>
      <c r="H17" s="5" t="inlineStr">
        <is>
          <t>Indexación (GSC/site:), backlinks y dominios de referencia (Ahrefs/Semrush)</t>
        </is>
      </c>
    </row>
    <row r="18" ht="19.9" customHeight="1">
      <c r="A18" s="7">
        <f t="array" ref="A18">ROW()-ROW(Hostings[#Headers])</f>
        <v/>
      </c>
      <c r="B18" s="2" t="inlineStr">
        <is>
          <t>glpinternationalsales.com</t>
        </is>
      </c>
      <c r="C18" s="3" t="inlineStr">
        <is>
          <t>GLP</t>
        </is>
      </c>
      <c r="D18" s="7">
        <f>IF(LEN(Hostings[[#This Row],[Dominio]])-LEN(SUBSTITUTE(Hostings[[#This Row],[Dominio]],".",""))&gt;IF(RIGHT(Hostings[[#This Row],[Dominio]],3)=".pa",2,1),"Subdominio","Principal")</f>
        <v/>
      </c>
      <c r="E18" s="5" t="inlineStr">
        <is>
          <t>Activo</t>
        </is>
      </c>
      <c r="F18" s="23" t="inlineStr">
        <is>
          <t>Revisar</t>
        </is>
      </c>
      <c r="G18" s="5" t="inlineStr">
        <is>
          <t>Secundario de GLP: dejar solo si tiene backlinks/tráfico; si no, 301 a glp.com.pa y caducar</t>
        </is>
      </c>
      <c r="H18" s="5" t="inlineStr">
        <is>
          <t>Indexación (GSC/site:), backlinks y dominios de referencia (Ahrefs/Semrush)</t>
        </is>
      </c>
    </row>
    <row r="19" ht="19.9" customHeight="1">
      <c r="A19" s="7">
        <f t="array" ref="A19">ROW()-ROW(Hostings[#Headers])</f>
        <v/>
      </c>
      <c r="B19" s="2" t="inlineStr">
        <is>
          <t>glppanamaresidency.com</t>
        </is>
      </c>
      <c r="C19" s="3" t="inlineStr">
        <is>
          <t>GLP</t>
        </is>
      </c>
      <c r="D19" s="7">
        <f>IF(LEN(Hostings[[#This Row],[Dominio]])-LEN(SUBSTITUTE(Hostings[[#This Row],[Dominio]],".",""))&gt;IF(RIGHT(Hostings[[#This Row],[Dominio]],3)=".pa",2,1),"Subdominio","Principal")</f>
        <v/>
      </c>
      <c r="E19" s="5" t="inlineStr">
        <is>
          <t>Activo</t>
        </is>
      </c>
      <c r="F19" s="23" t="inlineStr">
        <is>
          <t>Revisar</t>
        </is>
      </c>
      <c r="G19" s="5" t="inlineStr">
        <is>
          <t>Secundario de GLP: dejar solo si tiene backlinks/tráfico; si no, 301 a glp.com.pa y caducar</t>
        </is>
      </c>
      <c r="H19" s="5" t="inlineStr">
        <is>
          <t>Indexación (GSC/site:), backlinks y dominios de referencia (Ahrefs/Semrush)</t>
        </is>
      </c>
    </row>
    <row r="20" ht="19.9" customHeight="1">
      <c r="A20" s="7">
        <f t="array" ref="A20">ROW()-ROW(Hostings[#Headers])</f>
        <v/>
      </c>
      <c r="B20" s="2" t="inlineStr">
        <is>
          <t>grantnt.com</t>
        </is>
      </c>
      <c r="C20" s="3" t="inlineStr">
        <is>
          <t>Gran Terminal</t>
        </is>
      </c>
      <c r="D20" s="7">
        <f>IF(LEN(Hostings[[#This Row],[Dominio]])-LEN(SUBSTITUTE(Hostings[[#This Row],[Dominio]],".",""))&gt;IF(RIGHT(Hostings[[#This Row],[Dominio]],3)=".pa",2,1),"Subdominio","Principal")</f>
        <v/>
      </c>
      <c r="E20" s="5" t="inlineStr">
        <is>
          <t>Activo</t>
        </is>
      </c>
      <c r="F20" s="22" t="inlineStr">
        <is>
          <t>Dejar</t>
        </is>
      </c>
      <c r="G20" s="5" t="inlineStr">
        <is>
          <t>Dominio principal de Gran Terminal</t>
        </is>
      </c>
      <c r="H20" s="5" t="inlineStr">
        <is>
          <t>Indexación (GSC/site:), backlinks y dominios de referencia (Ahrefs/Semrush)</t>
        </is>
      </c>
    </row>
    <row r="21" ht="19.9" customHeight="1">
      <c r="A21" s="7">
        <f t="array" ref="A21">ROW()-ROW(Hostings[#Headers])</f>
        <v/>
      </c>
      <c r="B21" s="2" t="inlineStr">
        <is>
          <t>ipanemaresidences.com</t>
        </is>
      </c>
      <c r="C21" s="3" t="inlineStr">
        <is>
          <t>Ipanema</t>
        </is>
      </c>
      <c r="D21" s="7">
        <f>IF(LEN(Hostings[[#This Row],[Dominio]])-LEN(SUBSTITUTE(Hostings[[#This Row],[Dominio]],".",""))&gt;IF(RIGHT(Hostings[[#This Row],[Dominio]],3)=".pa",2,1),"Subdominio","Principal")</f>
        <v/>
      </c>
      <c r="E21" s="5" t="inlineStr">
        <is>
          <t>Activo</t>
        </is>
      </c>
      <c r="F21" s="22" t="inlineStr">
        <is>
          <t>Dejar</t>
        </is>
      </c>
      <c r="G21" s="5" t="inlineStr">
        <is>
          <t>Dominio principal del proyecto</t>
        </is>
      </c>
      <c r="H21" s="5" t="inlineStr">
        <is>
          <t>Indexación (GSC/site:), backlinks y dominios de referencia (Ahrefs/Semrush)</t>
        </is>
      </c>
    </row>
    <row r="22" ht="19.9" customHeight="1">
      <c r="A22" s="7">
        <f t="array" ref="A22">ROW()-ROW(Hostings[#Headers])</f>
        <v/>
      </c>
      <c r="B22" s="2" t="inlineStr">
        <is>
          <t>jardinesdelaespinoza.com</t>
        </is>
      </c>
      <c r="C22" s="3" t="inlineStr">
        <is>
          <t>Jardines de la Espinoza</t>
        </is>
      </c>
      <c r="D22" s="7">
        <f>IF(LEN(Hostings[[#This Row],[Dominio]])-LEN(SUBSTITUTE(Hostings[[#This Row],[Dominio]],".",""))&gt;IF(RIGHT(Hostings[[#This Row],[Dominio]],3)=".pa",2,1),"Subdominio","Principal")</f>
        <v/>
      </c>
      <c r="E22" s="5" t="inlineStr">
        <is>
          <t>Activo</t>
        </is>
      </c>
      <c r="F22" s="22" t="inlineStr">
        <is>
          <t>Dejar</t>
        </is>
      </c>
      <c r="G22" s="5" t="inlineStr">
        <is>
          <t>Dominio principal del proyecto</t>
        </is>
      </c>
      <c r="H22" s="5" t="inlineStr">
        <is>
          <t>Indexación (GSC/site:), backlinks y dominios de referencia (Ahrefs/Semrush)</t>
        </is>
      </c>
    </row>
    <row r="23" ht="19.9" customHeight="1">
      <c r="A23" s="7">
        <f t="array" ref="A23">ROW()-ROW(Hostings[#Headers])</f>
        <v/>
      </c>
      <c r="B23" s="2" t="inlineStr">
        <is>
          <t>johnnyandreds.com</t>
        </is>
      </c>
      <c r="C23" s="3" t="inlineStr">
        <is>
          <t>Johnny &amp; Reds</t>
        </is>
      </c>
      <c r="D23" s="7">
        <f>IF(LEN(Hostings[[#This Row],[Dominio]])-LEN(SUBSTITUTE(Hostings[[#This Row],[Dominio]],".",""))&gt;IF(RIGHT(Hostings[[#This Row],[Dominio]],3)=".pa",2,1),"Subdominio","Principal")</f>
        <v/>
      </c>
      <c r="E23" s="5" t="inlineStr">
        <is>
          <t>Activo</t>
        </is>
      </c>
      <c r="F23" s="22" t="inlineStr">
        <is>
          <t>Dejar</t>
        </is>
      </c>
      <c r="G23" s="5" t="inlineStr">
        <is>
          <t>Marca de restaurante, dominio exacto</t>
        </is>
      </c>
      <c r="H23" s="5" t="inlineStr">
        <is>
          <t>Indexación (GSC/site:), backlinks y dominios de referencia (Ahrefs/Semrush)</t>
        </is>
      </c>
    </row>
    <row r="24" ht="19.9" customHeight="1">
      <c r="A24" s="7">
        <f t="array" ref="A24">ROW()-ROW(Hostings[#Headers])</f>
        <v/>
      </c>
      <c r="B24" s="2" t="inlineStr">
        <is>
          <t>metrolibre.com</t>
        </is>
      </c>
      <c r="C24" s="3" t="inlineStr">
        <is>
          <t>Metro Libre</t>
        </is>
      </c>
      <c r="D24" s="7">
        <f>IF(LEN(Hostings[[#This Row],[Dominio]])-LEN(SUBSTITUTE(Hostings[[#This Row],[Dominio]],".",""))&gt;IF(RIGHT(Hostings[[#This Row],[Dominio]],3)=".pa",2,1),"Subdominio","Principal")</f>
        <v/>
      </c>
      <c r="E24" s="5" t="inlineStr">
        <is>
          <t>Activo</t>
        </is>
      </c>
      <c r="F24" s="22" t="inlineStr">
        <is>
          <t>Dejar</t>
        </is>
      </c>
      <c r="G24" s="5" t="inlineStr">
        <is>
          <t>Dominio principal de la marca</t>
        </is>
      </c>
      <c r="H24" s="5" t="inlineStr">
        <is>
          <t>Indexación (GSC/site:), backlinks y dominios de referencia (Ahrefs/Semrush)</t>
        </is>
      </c>
    </row>
    <row r="25" ht="19.9" customHeight="1">
      <c r="A25" s="7">
        <f t="array" ref="A25">ROW()-ROW(Hostings[#Headers])</f>
        <v/>
      </c>
      <c r="B25" s="2" t="inlineStr">
        <is>
          <t>oceanfrontpty.com</t>
        </is>
      </c>
      <c r="C25" s="3" t="inlineStr">
        <is>
          <t>Ocean Front</t>
        </is>
      </c>
      <c r="D25" s="7">
        <f>IF(LEN(Hostings[[#This Row],[Dominio]])-LEN(SUBSTITUTE(Hostings[[#This Row],[Dominio]],".",""))&gt;IF(RIGHT(Hostings[[#This Row],[Dominio]],3)=".pa",2,1),"Subdominio","Principal")</f>
        <v/>
      </c>
      <c r="E25" s="5" t="inlineStr">
        <is>
          <t>Activo</t>
        </is>
      </c>
      <c r="F25" s="22" t="inlineStr">
        <is>
          <t>Dejar</t>
        </is>
      </c>
      <c r="G25" s="5" t="inlineStr">
        <is>
          <t>Dominio principal del proyecto</t>
        </is>
      </c>
      <c r="H25" s="5" t="inlineStr">
        <is>
          <t>Indexación (GSC/site:), backlinks y dominios de referencia (Ahrefs/Semrush)</t>
        </is>
      </c>
    </row>
    <row r="26" ht="19.9" customHeight="1">
      <c r="A26" s="7">
        <f t="array" ref="A26">ROW()-ROW(Hostings[#Headers])</f>
        <v/>
      </c>
      <c r="B26" s="2" t="inlineStr">
        <is>
          <t>apartments.oceanreefpark.com</t>
        </is>
      </c>
      <c r="C26" s="3" t="inlineStr">
        <is>
          <t>Ocean Reef</t>
        </is>
      </c>
      <c r="D26" s="7">
        <f>IF(LEN(Hostings[[#This Row],[Dominio]])-LEN(SUBSTITUTE(Hostings[[#This Row],[Dominio]],".",""))&gt;IF(RIGHT(Hostings[[#This Row],[Dominio]],3)=".pa",2,1),"Subdominio","Principal")</f>
        <v/>
      </c>
      <c r="E26" s="5" t="inlineStr">
        <is>
          <t>Activo</t>
        </is>
      </c>
      <c r="F26" s="5" t="inlineStr">
        <is>
          <t>Dejar (sigue a raíz)</t>
        </is>
      </c>
      <c r="G26" s="5" t="inlineStr">
        <is>
          <t>Subdominio activo: se conserva mientras se renueve oceanreefpark.com</t>
        </is>
      </c>
      <c r="H26" s="5" t="inlineStr"/>
    </row>
    <row r="27" ht="19.9" customHeight="1">
      <c r="A27" s="7">
        <f t="array" ref="A27">ROW()-ROW(Hostings[#Headers])</f>
        <v/>
      </c>
      <c r="B27" s="2" t="inlineStr">
        <is>
          <t>casadelmar.oceanreefislands.com</t>
        </is>
      </c>
      <c r="C27" s="3" t="inlineStr">
        <is>
          <t>Ocean Reef</t>
        </is>
      </c>
      <c r="D27" s="7">
        <f>IF(LEN(Hostings[[#This Row],[Dominio]])-LEN(SUBSTITUTE(Hostings[[#This Row],[Dominio]],".",""))&gt;IF(RIGHT(Hostings[[#This Row],[Dominio]],3)=".pa",2,1),"Subdominio","Principal")</f>
        <v/>
      </c>
      <c r="E27" s="5" t="inlineStr">
        <is>
          <t>Cancelar</t>
        </is>
      </c>
      <c r="F27" s="5" t="inlineStr">
        <is>
          <t>Quitar del hosting</t>
        </is>
      </c>
      <c r="G27" s="5" t="inlineStr">
        <is>
          <t>Subdominio ya marcado como Cancelar; no afecta renovación (depende de oceanreefislands.com)</t>
        </is>
      </c>
      <c r="H27" s="5" t="inlineStr"/>
    </row>
    <row r="28" ht="19.9" customHeight="1">
      <c r="A28" s="7">
        <f t="array" ref="A28">ROW()-ROW(Hostings[#Headers])</f>
        <v/>
      </c>
      <c r="B28" s="2" t="inlineStr">
        <is>
          <t>cityvillas.oceanreefislands.com</t>
        </is>
      </c>
      <c r="C28" s="3" t="inlineStr">
        <is>
          <t>Ocean Reef</t>
        </is>
      </c>
      <c r="D28" s="7">
        <f>IF(LEN(Hostings[[#This Row],[Dominio]])-LEN(SUBSTITUTE(Hostings[[#This Row],[Dominio]],".",""))&gt;IF(RIGHT(Hostings[[#This Row],[Dominio]],3)=".pa",2,1),"Subdominio","Principal")</f>
        <v/>
      </c>
      <c r="E28" s="5" t="inlineStr">
        <is>
          <t>Cancelar</t>
        </is>
      </c>
      <c r="F28" s="5" t="inlineStr">
        <is>
          <t>Quitar del hosting</t>
        </is>
      </c>
      <c r="G28" s="5" t="inlineStr">
        <is>
          <t>Subdominio ya marcado como Cancelar; no afecta renovación (depende de oceanreefislands.com)</t>
        </is>
      </c>
      <c r="H28" s="5" t="inlineStr"/>
    </row>
    <row r="29" ht="19.9" customHeight="1">
      <c r="A29" s="7">
        <f t="array" ref="A29">ROW()-ROW(Hostings[#Headers])</f>
        <v/>
      </c>
      <c r="B29" s="2" t="inlineStr">
        <is>
          <t>general.oceanreefislands.com</t>
        </is>
      </c>
      <c r="C29" s="3" t="inlineStr">
        <is>
          <t>Ocean Reef</t>
        </is>
      </c>
      <c r="D29" s="7">
        <f>IF(LEN(Hostings[[#This Row],[Dominio]])-LEN(SUBSTITUTE(Hostings[[#This Row],[Dominio]],".",""))&gt;IF(RIGHT(Hostings[[#This Row],[Dominio]],3)=".pa",2,1),"Subdominio","Principal")</f>
        <v/>
      </c>
      <c r="E29" s="5" t="inlineStr">
        <is>
          <t>Cancelar</t>
        </is>
      </c>
      <c r="F29" s="5" t="inlineStr">
        <is>
          <t>Quitar del hosting</t>
        </is>
      </c>
      <c r="G29" s="5" t="inlineStr">
        <is>
          <t>Subdominio ya marcado como Cancelar; no afecta renovación (depende de oceanreefislands.com)</t>
        </is>
      </c>
      <c r="H29" s="5" t="inlineStr"/>
    </row>
    <row r="30" ht="19.9" customHeight="1">
      <c r="A30" s="7">
        <f t="array" ref="A30">ROW()-ROW(Hostings[#Headers])</f>
        <v/>
      </c>
      <c r="B30" s="2" t="inlineStr">
        <is>
          <t>lifestyle.oceanreefislands.com</t>
        </is>
      </c>
      <c r="C30" s="3" t="inlineStr">
        <is>
          <t>Ocean Reef</t>
        </is>
      </c>
      <c r="D30" s="7">
        <f>IF(LEN(Hostings[[#This Row],[Dominio]])-LEN(SUBSTITUTE(Hostings[[#This Row],[Dominio]],".",""))&gt;IF(RIGHT(Hostings[[#This Row],[Dominio]],3)=".pa",2,1),"Subdominio","Principal")</f>
        <v/>
      </c>
      <c r="E30" s="5" t="inlineStr">
        <is>
          <t>Cancelar</t>
        </is>
      </c>
      <c r="F30" s="5" t="inlineStr">
        <is>
          <t>Quitar del hosting</t>
        </is>
      </c>
      <c r="G30" s="5" t="inlineStr">
        <is>
          <t>Subdominio ya marcado como Cancelar; no afecta renovación (depende de oceanreefislands.com)</t>
        </is>
      </c>
      <c r="H30" s="5" t="inlineStr"/>
    </row>
    <row r="31" ht="19.9" customHeight="1">
      <c r="A31" s="7">
        <f t="array" ref="A31">ROW()-ROW(Hostings[#Headers])</f>
        <v/>
      </c>
      <c r="B31" s="2" t="inlineStr">
        <is>
          <t>oceanreefislands.com</t>
        </is>
      </c>
      <c r="C31" s="3" t="inlineStr">
        <is>
          <t>Ocean Reef</t>
        </is>
      </c>
      <c r="D31" s="7">
        <f>IF(LEN(Hostings[[#This Row],[Dominio]])-LEN(SUBSTITUTE(Hostings[[#This Row],[Dominio]],".",""))&gt;IF(RIGHT(Hostings[[#This Row],[Dominio]],3)=".pa",2,1),"Subdominio","Principal")</f>
        <v/>
      </c>
      <c r="E31" s="5" t="inlineStr">
        <is>
          <t>Activo</t>
        </is>
      </c>
      <c r="F31" s="22" t="inlineStr">
        <is>
          <t>Dejar</t>
        </is>
      </c>
      <c r="G31" s="5" t="inlineStr">
        <is>
          <t>Dominio principal de Ocean Reef; sostiene subdominios activos</t>
        </is>
      </c>
      <c r="H31" s="5" t="inlineStr">
        <is>
          <t>Indexación (GSC/site:), backlinks y dominios de referencia (Ahrefs/Semrush)</t>
        </is>
      </c>
    </row>
    <row r="32" ht="19.9" customHeight="1">
      <c r="A32" s="7">
        <f t="array" ref="A32">ROW()-ROW(Hostings[#Headers])</f>
        <v/>
      </c>
      <c r="B32" s="2" t="inlineStr">
        <is>
          <t>oceanreefmarina.com.pa</t>
        </is>
      </c>
      <c r="C32" s="3" t="inlineStr">
        <is>
          <t>Ocean Reef</t>
        </is>
      </c>
      <c r="D32" s="7">
        <f>IF(LEN(Hostings[[#This Row],[Dominio]])-LEN(SUBSTITUTE(Hostings[[#This Row],[Dominio]],".",""))&gt;IF(RIGHT(Hostings[[#This Row],[Dominio]],3)=".pa",2,1),"Subdominio","Principal")</f>
        <v/>
      </c>
      <c r="E32" s="5" t="inlineStr">
        <is>
          <t>Activo</t>
        </is>
      </c>
      <c r="F32" s="22" t="inlineStr">
        <is>
          <t>Dejar</t>
        </is>
      </c>
      <c r="G32" s="5" t="inlineStr">
        <is>
          <t>Marina: marca propia en .com.pa</t>
        </is>
      </c>
      <c r="H32" s="5" t="inlineStr">
        <is>
          <t>Indexación (GSC/site:), backlinks y dominios de referencia (Ahrefs/Semrush)</t>
        </is>
      </c>
    </row>
    <row r="33" ht="19.9" customHeight="1">
      <c r="A33" s="7">
        <f t="array" ref="A33">ROW()-ROW(Hostings[#Headers])</f>
        <v/>
      </c>
      <c r="B33" s="2" t="inlineStr">
        <is>
          <t>oclubresidences.com</t>
        </is>
      </c>
      <c r="C33" s="3" t="inlineStr">
        <is>
          <t>Ocean Reef</t>
        </is>
      </c>
      <c r="D33" s="7">
        <f>IF(LEN(Hostings[[#This Row],[Dominio]])-LEN(SUBSTITUTE(Hostings[[#This Row],[Dominio]],".",""))&gt;IF(RIGHT(Hostings[[#This Row],[Dominio]],3)=".pa",2,1),"Subdominio","Principal")</f>
        <v/>
      </c>
      <c r="E33" s="5" t="inlineStr">
        <is>
          <t>Activo</t>
        </is>
      </c>
      <c r="F33" s="22" t="inlineStr">
        <is>
          <t>Dejar</t>
        </is>
      </c>
      <c r="G33" s="5" t="inlineStr">
        <is>
          <t>Dominio activo con marca propia</t>
        </is>
      </c>
      <c r="H33" s="5" t="inlineStr">
        <is>
          <t>Indexación (GSC/site:), backlinks y dominios de referencia (Ahrefs/Semrush)</t>
        </is>
      </c>
    </row>
    <row r="34" ht="19.9" customHeight="1">
      <c r="A34" s="7">
        <f t="array" ref="A34">ROW()-ROW(Hostings[#Headers])</f>
        <v/>
      </c>
      <c r="B34" s="2" t="inlineStr">
        <is>
          <t>rentals.oceanreefislands.com</t>
        </is>
      </c>
      <c r="C34" s="3" t="inlineStr">
        <is>
          <t>Ocean Reef</t>
        </is>
      </c>
      <c r="D34" s="7">
        <f>IF(LEN(Hostings[[#This Row],[Dominio]])-LEN(SUBSTITUTE(Hostings[[#This Row],[Dominio]],".",""))&gt;IF(RIGHT(Hostings[[#This Row],[Dominio]],3)=".pa",2,1),"Subdominio","Principal")</f>
        <v/>
      </c>
      <c r="E34" s="5" t="inlineStr">
        <is>
          <t>Activo</t>
        </is>
      </c>
      <c r="F34" s="5" t="inlineStr">
        <is>
          <t>Dejar (sigue a raíz)</t>
        </is>
      </c>
      <c r="G34" s="5" t="inlineStr">
        <is>
          <t>Subdominio activo: se conserva mientras se renueve oceanreefislands.com</t>
        </is>
      </c>
      <c r="H34" s="5" t="inlineStr"/>
    </row>
    <row r="35" ht="19.9" customHeight="1">
      <c r="A35" s="7">
        <f t="array" ref="A35">ROW()-ROW(Hostings[#Headers])</f>
        <v/>
      </c>
      <c r="B35" s="2" t="inlineStr">
        <is>
          <t>seascape.oceanreefislands.com</t>
        </is>
      </c>
      <c r="C35" s="3" t="inlineStr">
        <is>
          <t>Ocean Reef</t>
        </is>
      </c>
      <c r="D35" s="7">
        <f>IF(LEN(Hostings[[#This Row],[Dominio]])-LEN(SUBSTITUTE(Hostings[[#This Row],[Dominio]],".",""))&gt;IF(RIGHT(Hostings[[#This Row],[Dominio]],3)=".pa",2,1),"Subdominio","Principal")</f>
        <v/>
      </c>
      <c r="E35" s="5" t="inlineStr">
        <is>
          <t>Cancelar</t>
        </is>
      </c>
      <c r="F35" s="5" t="inlineStr">
        <is>
          <t>Quitar del hosting</t>
        </is>
      </c>
      <c r="G35" s="5" t="inlineStr">
        <is>
          <t>Subdominio ya marcado como Cancelar; no afecta renovación (depende de oceanreefislands.com)</t>
        </is>
      </c>
      <c r="H35" s="5" t="inlineStr"/>
    </row>
    <row r="36" ht="19.9" customHeight="1">
      <c r="A36" s="7">
        <f t="array" ref="A36">ROW()-ROW(Hostings[#Headers])</f>
        <v/>
      </c>
      <c r="B36" s="2" t="inlineStr">
        <is>
          <t>thepalmsbeachresort.oceanreefislands.com</t>
        </is>
      </c>
      <c r="C36" s="3" t="inlineStr">
        <is>
          <t>Ocean Reef</t>
        </is>
      </c>
      <c r="D36" s="7">
        <f>IF(LEN(Hostings[[#This Row],[Dominio]])-LEN(SUBSTITUTE(Hostings[[#This Row],[Dominio]],".",""))&gt;IF(RIGHT(Hostings[[#This Row],[Dominio]],3)=".pa",2,1),"Subdominio","Principal")</f>
        <v/>
      </c>
      <c r="E36" s="5" t="inlineStr">
        <is>
          <t>Cancelar</t>
        </is>
      </c>
      <c r="F36" s="5" t="inlineStr">
        <is>
          <t>Quitar del hosting</t>
        </is>
      </c>
      <c r="G36" s="5" t="inlineStr">
        <is>
          <t>Subdominio ya marcado como Cancelar; no afecta renovación (depende de oceanreefislands.com)</t>
        </is>
      </c>
      <c r="H36" s="5" t="inlineStr"/>
    </row>
    <row r="37" ht="19.9" customHeight="1">
      <c r="A37" s="7">
        <f t="array" ref="A37">ROW()-ROW(Hostings[#Headers])</f>
        <v/>
      </c>
      <c r="B37" s="2" t="inlineStr">
        <is>
          <t>townhouses.oceanreefpark.com</t>
        </is>
      </c>
      <c r="C37" s="3" t="inlineStr">
        <is>
          <t>Ocean Reef</t>
        </is>
      </c>
      <c r="D37" s="7">
        <f>IF(LEN(Hostings[[#This Row],[Dominio]])-LEN(SUBSTITUTE(Hostings[[#This Row],[Dominio]],".",""))&gt;IF(RIGHT(Hostings[[#This Row],[Dominio]],3)=".pa",2,1),"Subdominio","Principal")</f>
        <v/>
      </c>
      <c r="E37" s="5" t="inlineStr">
        <is>
          <t>Activo</t>
        </is>
      </c>
      <c r="F37" s="5" t="inlineStr">
        <is>
          <t>Dejar (sigue a raíz)</t>
        </is>
      </c>
      <c r="G37" s="5" t="inlineStr">
        <is>
          <t>Subdominio activo: se conserva mientras se renueve oceanreefpark.com</t>
        </is>
      </c>
      <c r="H37" s="5" t="inlineStr"/>
    </row>
    <row r="38" ht="19.9" customHeight="1">
      <c r="A38" s="7">
        <f t="array" ref="A38">ROW()-ROW(Hostings[#Headers])</f>
        <v/>
      </c>
      <c r="B38" s="2" t="inlineStr">
        <is>
          <t>oceanseriessantamaria.com</t>
        </is>
      </c>
      <c r="C38" s="3" t="inlineStr">
        <is>
          <t>Ocean Series</t>
        </is>
      </c>
      <c r="D38" s="7">
        <f>IF(LEN(Hostings[[#This Row],[Dominio]])-LEN(SUBSTITUTE(Hostings[[#This Row],[Dominio]],".",""))&gt;IF(RIGHT(Hostings[[#This Row],[Dominio]],3)=".pa",2,1),"Subdominio","Principal")</f>
        <v/>
      </c>
      <c r="E38" s="5" t="inlineStr">
        <is>
          <t>Cancelar</t>
        </is>
      </c>
      <c r="F38" s="24" t="inlineStr">
        <is>
          <t>Dejar caducar</t>
        </is>
      </c>
      <c r="G38" s="5" t="inlineStr">
        <is>
          <t>Estado Cancelar; microsite de campaña, redirigir si tuvo enlaces</t>
        </is>
      </c>
      <c r="H38" s="5" t="inlineStr">
        <is>
          <t>Indexación (GSC/site:), backlinks y dominios de referencia (Ahrefs/Semrush)</t>
        </is>
      </c>
    </row>
    <row r="39" ht="19.9" customHeight="1">
      <c r="A39" s="7">
        <f t="array" ref="A39">ROW()-ROW(Hostings[#Headers])</f>
        <v/>
      </c>
      <c r="B39" s="2" t="inlineStr">
        <is>
          <t>oceanasantamaria.com</t>
        </is>
      </c>
      <c r="C39" s="3" t="inlineStr">
        <is>
          <t>Oceana</t>
        </is>
      </c>
      <c r="D39" s="7">
        <f>IF(LEN(Hostings[[#This Row],[Dominio]])-LEN(SUBSTITUTE(Hostings[[#This Row],[Dominio]],".",""))&gt;IF(RIGHT(Hostings[[#This Row],[Dominio]],3)=".pa",2,1),"Subdominio","Principal")</f>
        <v/>
      </c>
      <c r="E39" s="5" t="inlineStr">
        <is>
          <t>Activo</t>
        </is>
      </c>
      <c r="F39" s="22" t="inlineStr">
        <is>
          <t>Dejar</t>
        </is>
      </c>
      <c r="G39" s="5" t="inlineStr">
        <is>
          <t>Dominio principal de Oceana</t>
        </is>
      </c>
      <c r="H39" s="5" t="inlineStr">
        <is>
          <t>Indexación (GSC/site:), backlinks y dominios de referencia (Ahrefs/Semrush)</t>
        </is>
      </c>
    </row>
    <row r="40" ht="19.9" customHeight="1">
      <c r="A40" s="7">
        <f t="array" ref="A40">ROW()-ROW(Hostings[#Headers])</f>
        <v/>
      </c>
      <c r="B40" s="2" t="inlineStr">
        <is>
          <t>penthousescollection.oceanasantamaria.com</t>
        </is>
      </c>
      <c r="C40" s="3" t="inlineStr">
        <is>
          <t>Oceana</t>
        </is>
      </c>
      <c r="D40" s="7">
        <f>IF(LEN(Hostings[[#This Row],[Dominio]])-LEN(SUBSTITUTE(Hostings[[#This Row],[Dominio]],".",""))&gt;IF(RIGHT(Hostings[[#This Row],[Dominio]],3)=".pa",2,1),"Subdominio","Principal")</f>
        <v/>
      </c>
      <c r="E40" s="5" t="inlineStr">
        <is>
          <t>Cancelar</t>
        </is>
      </c>
      <c r="F40" s="5" t="inlineStr">
        <is>
          <t>Quitar del hosting</t>
        </is>
      </c>
      <c r="G40" s="5" t="inlineStr">
        <is>
          <t>Subdominio ya marcado como Cancelar; no afecta renovación (depende de oceanasantamaria.com)</t>
        </is>
      </c>
      <c r="H40" s="5" t="inlineStr"/>
    </row>
    <row r="41" ht="19.9" customHeight="1">
      <c r="A41" s="7">
        <f t="array" ref="A41">ROW()-ROW(Hostings[#Headers])</f>
        <v/>
      </c>
      <c r="B41" s="2" t="inlineStr">
        <is>
          <t>superbliving.oceanasantamaria.com</t>
        </is>
      </c>
      <c r="C41" s="3" t="inlineStr">
        <is>
          <t>Oceana</t>
        </is>
      </c>
      <c r="D41" s="7">
        <f>IF(LEN(Hostings[[#This Row],[Dominio]])-LEN(SUBSTITUTE(Hostings[[#This Row],[Dominio]],".",""))&gt;IF(RIGHT(Hostings[[#This Row],[Dominio]],3)=".pa",2,1),"Subdominio","Principal")</f>
        <v/>
      </c>
      <c r="E41" s="5" t="inlineStr">
        <is>
          <t>Cancelar</t>
        </is>
      </c>
      <c r="F41" s="5" t="inlineStr">
        <is>
          <t>Quitar del hosting</t>
        </is>
      </c>
      <c r="G41" s="5" t="inlineStr">
        <is>
          <t>Subdominio ya marcado como Cancelar; no afecta renovación (depende de oceanasantamaria.com)</t>
        </is>
      </c>
      <c r="H41" s="5" t="inlineStr"/>
    </row>
    <row r="42" ht="19.9" customHeight="1">
      <c r="A42" s="7">
        <f t="array" ref="A42">ROW()-ROW(Hostings[#Headers])</f>
        <v/>
      </c>
      <c r="B42" s="2" t="inlineStr">
        <is>
          <t>panamaviejobusinesscenter.com</t>
        </is>
      </c>
      <c r="C42" s="3" t="inlineStr">
        <is>
          <t>Panama Viejo</t>
        </is>
      </c>
      <c r="D42" s="7">
        <f>IF(LEN(Hostings[[#This Row],[Dominio]])-LEN(SUBSTITUTE(Hostings[[#This Row],[Dominio]],".",""))&gt;IF(RIGHT(Hostings[[#This Row],[Dominio]],3)=".pa",2,1),"Subdominio","Principal")</f>
        <v/>
      </c>
      <c r="E42" s="5" t="inlineStr">
        <is>
          <t>Cancelar</t>
        </is>
      </c>
      <c r="F42" s="24" t="inlineStr">
        <is>
          <t>Dejar caducar</t>
        </is>
      </c>
      <c r="G42" s="5" t="inlineStr">
        <is>
          <t>Estado Cancelar; solapa con panamaviejoresidences.com</t>
        </is>
      </c>
      <c r="H42" s="5" t="inlineStr">
        <is>
          <t>Indexación (GSC/site:), backlinks y dominios de referencia (Ahrefs/Semrush)</t>
        </is>
      </c>
    </row>
    <row r="43" ht="19.9" customHeight="1">
      <c r="A43" s="7">
        <f t="array" ref="A43">ROW()-ROW(Hostings[#Headers])</f>
        <v/>
      </c>
      <c r="B43" s="2" t="inlineStr">
        <is>
          <t>panamaviejoresidences.com</t>
        </is>
      </c>
      <c r="C43" s="3" t="inlineStr">
        <is>
          <t>Panama Viejo</t>
        </is>
      </c>
      <c r="D43" s="7">
        <f>IF(LEN(Hostings[[#This Row],[Dominio]])-LEN(SUBSTITUTE(Hostings[[#This Row],[Dominio]],".",""))&gt;IF(RIGHT(Hostings[[#This Row],[Dominio]],3)=".pa",2,1),"Subdominio","Principal")</f>
        <v/>
      </c>
      <c r="E43" s="5" t="inlineStr">
        <is>
          <t>Activo</t>
        </is>
      </c>
      <c r="F43" s="22" t="inlineStr">
        <is>
          <t>Dejar</t>
        </is>
      </c>
      <c r="G43" s="5" t="inlineStr">
        <is>
          <t>Dominio principal activo del proyecto</t>
        </is>
      </c>
      <c r="H43" s="5" t="inlineStr">
        <is>
          <t>Indexación (GSC/site:), backlinks y dominios de referencia (Ahrefs/Semrush)</t>
        </is>
      </c>
    </row>
    <row r="44" ht="19.9" customHeight="1">
      <c r="A44" s="7">
        <f t="array" ref="A44">ROW()-ROW(Hostings[#Headers])</f>
        <v/>
      </c>
      <c r="B44" s="2" t="inlineStr">
        <is>
          <t>beachwalkplayacaracol.com</t>
        </is>
      </c>
      <c r="C44" s="3" t="inlineStr">
        <is>
          <t>Playa Caracol</t>
        </is>
      </c>
      <c r="D44" s="7">
        <f>IF(LEN(Hostings[[#This Row],[Dominio]])-LEN(SUBSTITUTE(Hostings[[#This Row],[Dominio]],".",""))&gt;IF(RIGHT(Hostings[[#This Row],[Dominio]],3)=".pa",2,1),"Subdominio","Principal")</f>
        <v/>
      </c>
      <c r="E44" s="5" t="inlineStr">
        <is>
          <t>Cancelar</t>
        </is>
      </c>
      <c r="F44" s="24" t="inlineStr">
        <is>
          <t>Dejar caducar</t>
        </is>
      </c>
      <c r="G44" s="5" t="inlineStr">
        <is>
          <t>Estado Cancelar; microsite de fase, canibaliza el principal</t>
        </is>
      </c>
      <c r="H44" s="5" t="inlineStr">
        <is>
          <t>Indexación (GSC/site:), backlinks y dominios de referencia (Ahrefs/Semrush)</t>
        </is>
      </c>
    </row>
    <row r="45" ht="19.9" customHeight="1">
      <c r="A45" s="7">
        <f t="array" ref="A45">ROW()-ROW(Hostings[#Headers])</f>
        <v/>
      </c>
      <c r="B45" s="2" t="inlineStr">
        <is>
          <t>caracollifestyle.com</t>
        </is>
      </c>
      <c r="C45" s="3" t="inlineStr">
        <is>
          <t>Playa Caracol</t>
        </is>
      </c>
      <c r="D45" s="7">
        <f>IF(LEN(Hostings[[#This Row],[Dominio]])-LEN(SUBSTITUTE(Hostings[[#This Row],[Dominio]],".",""))&gt;IF(RIGHT(Hostings[[#This Row],[Dominio]],3)=".pa",2,1),"Subdominio","Principal")</f>
        <v/>
      </c>
      <c r="E45" s="5" t="inlineStr">
        <is>
          <t>Cancelar</t>
        </is>
      </c>
      <c r="F45" s="24" t="inlineStr">
        <is>
          <t>Dejar caducar</t>
        </is>
      </c>
      <c r="G45" s="5" t="inlineStr">
        <is>
          <t>Estado Cancelar; microsite de campaña</t>
        </is>
      </c>
      <c r="H45" s="5" t="inlineStr">
        <is>
          <t>Indexación (GSC/site:), backlinks y dominios de referencia (Ahrefs/Semrush)</t>
        </is>
      </c>
    </row>
    <row r="46" ht="19.9" customHeight="1">
      <c r="A46" s="7">
        <f t="array" ref="A46">ROW()-ROW(Hostings[#Headers])</f>
        <v/>
      </c>
      <c r="B46" s="2" t="inlineStr">
        <is>
          <t>colecciondelmar.com</t>
        </is>
      </c>
      <c r="C46" s="3" t="inlineStr">
        <is>
          <t>Playa Caracol</t>
        </is>
      </c>
      <c r="D46" s="7">
        <f>IF(LEN(Hostings[[#This Row],[Dominio]])-LEN(SUBSTITUTE(Hostings[[#This Row],[Dominio]],".",""))&gt;IF(RIGHT(Hostings[[#This Row],[Dominio]],3)=".pa",2,1),"Subdominio","Principal")</f>
        <v/>
      </c>
      <c r="E46" s="5" t="inlineStr">
        <is>
          <t>Cancelar</t>
        </is>
      </c>
      <c r="F46" s="24" t="inlineStr">
        <is>
          <t>Dejar caducar</t>
        </is>
      </c>
      <c r="G46" s="5" t="inlineStr">
        <is>
          <t>Estado Cancelar; microsite de campaña</t>
        </is>
      </c>
      <c r="H46" s="5" t="inlineStr">
        <is>
          <t>Indexación (GSC/site:), backlinks y dominios de referencia (Ahrefs/Semrush)</t>
        </is>
      </c>
    </row>
    <row r="47" ht="19.9" customHeight="1">
      <c r="A47" s="7">
        <f t="array" ref="A47">ROW()-ROW(Hostings[#Headers])</f>
        <v/>
      </c>
      <c r="B47" s="2" t="inlineStr">
        <is>
          <t>colombia.playacaracolresorts.com</t>
        </is>
      </c>
      <c r="C47" s="3" t="inlineStr">
        <is>
          <t>Playa Caracol</t>
        </is>
      </c>
      <c r="D47" s="7">
        <f>IF(LEN(Hostings[[#This Row],[Dominio]])-LEN(SUBSTITUTE(Hostings[[#This Row],[Dominio]],".",""))&gt;IF(RIGHT(Hostings[[#This Row],[Dominio]],3)=".pa",2,1),"Subdominio","Principal")</f>
        <v/>
      </c>
      <c r="E47" s="5" t="inlineStr">
        <is>
          <t>Activo</t>
        </is>
      </c>
      <c r="F47" s="5" t="inlineStr">
        <is>
          <t>Dejar (sigue a raíz)</t>
        </is>
      </c>
      <c r="G47" s="5" t="inlineStr">
        <is>
          <t>Subdominio activo: se conserva mientras se renueve playacaracolresorts.com</t>
        </is>
      </c>
      <c r="H47" s="5" t="inlineStr"/>
    </row>
    <row r="48" ht="19.9" customHeight="1">
      <c r="A48" s="7">
        <f t="array" ref="A48">ROW()-ROW(Hostings[#Headers])</f>
        <v/>
      </c>
      <c r="B48" s="2" t="inlineStr">
        <is>
          <t>discoverplayacaracol.com</t>
        </is>
      </c>
      <c r="C48" s="3" t="inlineStr">
        <is>
          <t>Playa Caracol</t>
        </is>
      </c>
      <c r="D48" s="7">
        <f>IF(LEN(Hostings[[#This Row],[Dominio]])-LEN(SUBSTITUTE(Hostings[[#This Row],[Dominio]],".",""))&gt;IF(RIGHT(Hostings[[#This Row],[Dominio]],3)=".pa",2,1),"Subdominio","Principal")</f>
        <v/>
      </c>
      <c r="E48" s="5" t="inlineStr">
        <is>
          <t>Activo</t>
        </is>
      </c>
      <c r="F48" s="22" t="inlineStr">
        <is>
          <t>Dejar</t>
        </is>
      </c>
      <c r="G48" s="5" t="inlineStr">
        <is>
          <t>Activo; marca + intención de descubrimiento</t>
        </is>
      </c>
      <c r="H48" s="5" t="inlineStr">
        <is>
          <t>Indexación (GSC/site:), backlinks y dominios de referencia (Ahrefs/Semrush)</t>
        </is>
      </c>
    </row>
    <row r="49" ht="19.9" customHeight="1">
      <c r="A49" s="7">
        <f t="array" ref="A49">ROW()-ROW(Hostings[#Headers])</f>
        <v/>
      </c>
      <c r="B49" s="2" t="inlineStr">
        <is>
          <t>explora.playacaracolresidences.com</t>
        </is>
      </c>
      <c r="C49" s="3" t="inlineStr">
        <is>
          <t>Playa Caracol</t>
        </is>
      </c>
      <c r="D49" s="7">
        <f>IF(LEN(Hostings[[#This Row],[Dominio]])-LEN(SUBSTITUTE(Hostings[[#This Row],[Dominio]],".",""))&gt;IF(RIGHT(Hostings[[#This Row],[Dominio]],3)=".pa",2,1),"Subdominio","Principal")</f>
        <v/>
      </c>
      <c r="E49" s="5" t="inlineStr">
        <is>
          <t>Cancelar</t>
        </is>
      </c>
      <c r="F49" s="5" t="inlineStr">
        <is>
          <t>Quitar del hosting</t>
        </is>
      </c>
      <c r="G49" s="5" t="inlineStr">
        <is>
          <t>Subdominio ya marcado como Cancelar; no afecta renovación (depende de playacaracolresidences.com)</t>
        </is>
      </c>
      <c r="H49" s="5" t="inlineStr"/>
    </row>
    <row r="50" ht="19.9" customHeight="1">
      <c r="A50" s="7">
        <f t="array" ref="A50">ROW()-ROW(Hostings[#Headers])</f>
        <v/>
      </c>
      <c r="B50" s="2" t="inlineStr">
        <is>
          <t>horizonsescapes.com</t>
        </is>
      </c>
      <c r="C50" s="3" t="inlineStr">
        <is>
          <t>Playa Caracol</t>
        </is>
      </c>
      <c r="D50" s="7">
        <f>IF(LEN(Hostings[[#This Row],[Dominio]])-LEN(SUBSTITUTE(Hostings[[#This Row],[Dominio]],".",""))&gt;IF(RIGHT(Hostings[[#This Row],[Dominio]],3)=".pa",2,1),"Subdominio","Principal")</f>
        <v/>
      </c>
      <c r="E50" s="5" t="inlineStr">
        <is>
          <t>Activo</t>
        </is>
      </c>
      <c r="F50" s="23" t="inlineStr">
        <is>
          <t>Revisar</t>
        </is>
      </c>
      <c r="G50" s="5" t="inlineStr">
        <is>
          <t>Activo pero sin marca Playa Caracol en el dominio: validar tráfico propio</t>
        </is>
      </c>
      <c r="H50" s="5" t="inlineStr">
        <is>
          <t>Indexación (GSC/site:), backlinks y dominios de referencia (Ahrefs/Semrush)</t>
        </is>
      </c>
    </row>
    <row r="51" ht="19.9" customHeight="1">
      <c r="A51" s="7">
        <f t="array" ref="A51">ROW()-ROW(Hostings[#Headers])</f>
        <v/>
      </c>
      <c r="B51" s="2" t="inlineStr">
        <is>
          <t>infoplayacaracol.com</t>
        </is>
      </c>
      <c r="C51" s="3" t="inlineStr">
        <is>
          <t>Playa Caracol</t>
        </is>
      </c>
      <c r="D51" s="7">
        <f>IF(LEN(Hostings[[#This Row],[Dominio]])-LEN(SUBSTITUTE(Hostings[[#This Row],[Dominio]],".",""))&gt;IF(RIGHT(Hostings[[#This Row],[Dominio]],3)=".pa",2,1),"Subdominio","Principal")</f>
        <v/>
      </c>
      <c r="E51" s="5" t="inlineStr">
        <is>
          <t>Cancelar</t>
        </is>
      </c>
      <c r="F51" s="24" t="inlineStr">
        <is>
          <t>Dejar caducar</t>
        </is>
      </c>
      <c r="G51" s="5" t="inlineStr">
        <is>
          <t>Estado Cancelar; dominio de captación genérico</t>
        </is>
      </c>
      <c r="H51" s="5" t="inlineStr">
        <is>
          <t>Indexación (GSC/site:), backlinks y dominios de referencia (Ahrefs/Semrush)</t>
        </is>
      </c>
    </row>
    <row r="52" ht="19.9" customHeight="1">
      <c r="A52" s="7">
        <f t="array" ref="A52">ROW()-ROW(Hostings[#Headers])</f>
        <v/>
      </c>
      <c r="B52" s="2" t="inlineStr">
        <is>
          <t>international.playacaracolrentals.com</t>
        </is>
      </c>
      <c r="C52" s="3" t="inlineStr">
        <is>
          <t>Playa Caracol</t>
        </is>
      </c>
      <c r="D52" s="7">
        <f>IF(LEN(Hostings[[#This Row],[Dominio]])-LEN(SUBSTITUTE(Hostings[[#This Row],[Dominio]],".",""))&gt;IF(RIGHT(Hostings[[#This Row],[Dominio]],3)=".pa",2,1),"Subdominio","Principal")</f>
        <v/>
      </c>
      <c r="E52" s="5" t="inlineStr">
        <is>
          <t>Activo</t>
        </is>
      </c>
      <c r="F52" s="5" t="inlineStr">
        <is>
          <t>Dejar (sigue a raíz)</t>
        </is>
      </c>
      <c r="G52" s="5" t="inlineStr">
        <is>
          <t>Subdominio activo: se conserva mientras se renueve playacaracolrentals.com</t>
        </is>
      </c>
      <c r="H52" s="5" t="inlineStr"/>
    </row>
    <row r="53" ht="19.9" customHeight="1">
      <c r="A53" s="7">
        <f t="array" ref="A53">ROW()-ROW(Hostings[#Headers])</f>
        <v/>
      </c>
      <c r="B53" s="2" t="inlineStr">
        <is>
          <t>playacaracolrentals.com</t>
        </is>
      </c>
      <c r="C53" s="3" t="inlineStr">
        <is>
          <t>Playa Caracol</t>
        </is>
      </c>
      <c r="D53" s="7">
        <f>IF(LEN(Hostings[[#This Row],[Dominio]])-LEN(SUBSTITUTE(Hostings[[#This Row],[Dominio]],".",""))&gt;IF(RIGHT(Hostings[[#This Row],[Dominio]],3)=".pa",2,1),"Subdominio","Principal")</f>
        <v/>
      </c>
      <c r="E53" s="5" t="inlineStr">
        <is>
          <t>Activo</t>
        </is>
      </c>
      <c r="F53" s="22" t="inlineStr">
        <is>
          <t>Dejar</t>
        </is>
      </c>
      <c r="G53" s="5" t="inlineStr">
        <is>
          <t>Activo; sostiene subdominio international</t>
        </is>
      </c>
      <c r="H53" s="5" t="inlineStr">
        <is>
          <t>Indexación (GSC/site:), backlinks y dominios de referencia (Ahrefs/Semrush)</t>
        </is>
      </c>
    </row>
    <row r="54" ht="19.9" customHeight="1">
      <c r="A54" s="7">
        <f t="array" ref="A54">ROW()-ROW(Hostings[#Headers])</f>
        <v/>
      </c>
      <c r="B54" s="2" t="inlineStr">
        <is>
          <t>playacaracolresidences.com</t>
        </is>
      </c>
      <c r="C54" s="3" t="inlineStr">
        <is>
          <t>Playa Caracol</t>
        </is>
      </c>
      <c r="D54" s="7">
        <f>IF(LEN(Hostings[[#This Row],[Dominio]])-LEN(SUBSTITUTE(Hostings[[#This Row],[Dominio]],".",""))&gt;IF(RIGHT(Hostings[[#This Row],[Dominio]],3)=".pa",2,1),"Subdominio","Principal")</f>
        <v/>
      </c>
      <c r="E54" s="5" t="inlineStr">
        <is>
          <t>Activo</t>
        </is>
      </c>
      <c r="F54" s="22" t="inlineStr">
        <is>
          <t>Dejar</t>
        </is>
      </c>
      <c r="G54" s="5" t="inlineStr">
        <is>
          <t>Dominio principal con marca; presente en listados de terceros</t>
        </is>
      </c>
      <c r="H54" s="5" t="inlineStr">
        <is>
          <t>Indexación (GSC/site:), backlinks y dominios de referencia (Ahrefs/Semrush)</t>
        </is>
      </c>
    </row>
    <row r="55" ht="19.9" customHeight="1">
      <c r="A55" s="7">
        <f t="array" ref="A55">ROW()-ROW(Hostings[#Headers])</f>
        <v/>
      </c>
      <c r="B55" s="2" t="inlineStr">
        <is>
          <t>playacaracolresorts.com</t>
        </is>
      </c>
      <c r="C55" s="3" t="inlineStr">
        <is>
          <t>Playa Caracol</t>
        </is>
      </c>
      <c r="D55" s="7">
        <f>IF(LEN(Hostings[[#This Row],[Dominio]])-LEN(SUBSTITUTE(Hostings[[#This Row],[Dominio]],".",""))&gt;IF(RIGHT(Hostings[[#This Row],[Dominio]],3)=".pa",2,1),"Subdominio","Principal")</f>
        <v/>
      </c>
      <c r="E55" s="5" t="inlineStr">
        <is>
          <t>Activo</t>
        </is>
      </c>
      <c r="F55" s="22" t="inlineStr">
        <is>
          <t>Dejar</t>
        </is>
      </c>
      <c r="G55" s="5" t="inlineStr">
        <is>
          <t>Dominio principal activo; sostiene subdominio</t>
        </is>
      </c>
      <c r="H55" s="5" t="inlineStr">
        <is>
          <t>Indexación (GSC/site:), backlinks y dominios de referencia (Ahrefs/Semrush)</t>
        </is>
      </c>
    </row>
    <row r="56" ht="19.9" customHeight="1">
      <c r="A56" s="7">
        <f t="array" ref="A56">ROW()-ROW(Hostings[#Headers])</f>
        <v/>
      </c>
      <c r="B56" s="2" t="inlineStr">
        <is>
          <t>seashoreplayacaracol.com</t>
        </is>
      </c>
      <c r="C56" s="3" t="inlineStr">
        <is>
          <t>Playa Caracol</t>
        </is>
      </c>
      <c r="D56" s="7">
        <f>IF(LEN(Hostings[[#This Row],[Dominio]])-LEN(SUBSTITUTE(Hostings[[#This Row],[Dominio]],".",""))&gt;IF(RIGHT(Hostings[[#This Row],[Dominio]],3)=".pa",2,1),"Subdominio","Principal")</f>
        <v/>
      </c>
      <c r="E56" s="5" t="inlineStr">
        <is>
          <t>Cancelar</t>
        </is>
      </c>
      <c r="F56" s="24" t="inlineStr">
        <is>
          <t>Dejar caducar</t>
        </is>
      </c>
      <c r="G56" s="5" t="inlineStr">
        <is>
          <t>Estado Cancelar; microsite de torre</t>
        </is>
      </c>
      <c r="H56" s="5" t="inlineStr">
        <is>
          <t>Indexación (GSC/site:), backlinks y dominios de referencia (Ahrefs/Semrush)</t>
        </is>
      </c>
    </row>
    <row r="57" ht="19.9" customHeight="1">
      <c r="A57" s="7">
        <f t="array" ref="A57">ROW()-ROW(Hostings[#Headers])</f>
        <v/>
      </c>
      <c r="B57" s="2" t="inlineStr">
        <is>
          <t>surfsideplayacaracol.com</t>
        </is>
      </c>
      <c r="C57" s="3" t="inlineStr">
        <is>
          <t>Playa Caracol</t>
        </is>
      </c>
      <c r="D57" s="7">
        <f>IF(LEN(Hostings[[#This Row],[Dominio]])-LEN(SUBSTITUTE(Hostings[[#This Row],[Dominio]],".",""))&gt;IF(RIGHT(Hostings[[#This Row],[Dominio]],3)=".pa",2,1),"Subdominio","Principal")</f>
        <v/>
      </c>
      <c r="E57" s="5" t="inlineStr">
        <is>
          <t>Activo</t>
        </is>
      </c>
      <c r="F57" s="22" t="inlineStr">
        <is>
          <t>Dejar</t>
        </is>
      </c>
      <c r="G57" s="5" t="inlineStr">
        <is>
          <t>Activo; microsite de torre vigente</t>
        </is>
      </c>
      <c r="H57" s="5" t="inlineStr">
        <is>
          <t>Indexación (GSC/site:), backlinks y dominios de referencia (Ahrefs/Semrush)</t>
        </is>
      </c>
    </row>
    <row r="58" ht="19.9" customHeight="1">
      <c r="A58" s="7">
        <f t="array" ref="A58">ROW()-ROW(Hostings[#Headers])</f>
        <v/>
      </c>
      <c r="B58" s="2" t="inlineStr">
        <is>
          <t>thetidesatcaracol.com</t>
        </is>
      </c>
      <c r="C58" s="3" t="inlineStr">
        <is>
          <t>Playa Caracol</t>
        </is>
      </c>
      <c r="D58" s="7">
        <f>IF(LEN(Hostings[[#This Row],[Dominio]])-LEN(SUBSTITUTE(Hostings[[#This Row],[Dominio]],".",""))&gt;IF(RIGHT(Hostings[[#This Row],[Dominio]],3)=".pa",2,1),"Subdominio","Principal")</f>
        <v/>
      </c>
      <c r="E58" s="5" t="inlineStr">
        <is>
          <t>Cancelar</t>
        </is>
      </c>
      <c r="F58" s="24" t="inlineStr">
        <is>
          <t>Dejar caducar</t>
        </is>
      </c>
      <c r="G58" s="5" t="inlineStr">
        <is>
          <t>Estado Cancelar; microsite de torre</t>
        </is>
      </c>
      <c r="H58" s="5" t="inlineStr">
        <is>
          <t>Indexación (GSC/site:), backlinks y dominios de referencia (Ahrefs/Semrush)</t>
        </is>
      </c>
    </row>
    <row r="59" ht="19.9" customHeight="1">
      <c r="A59" s="7">
        <f t="array" ref="A59">ROW()-ROW(Hostings[#Headers])</f>
        <v/>
      </c>
      <c r="B59" s="2" t="inlineStr">
        <is>
          <t>playadorada.com.pa</t>
        </is>
      </c>
      <c r="C59" s="3" t="inlineStr">
        <is>
          <t>Playa Dorada</t>
        </is>
      </c>
      <c r="D59" s="7">
        <f>IF(LEN(Hostings[[#This Row],[Dominio]])-LEN(SUBSTITUTE(Hostings[[#This Row],[Dominio]],".",""))&gt;IF(RIGHT(Hostings[[#This Row],[Dominio]],3)=".pa",2,1),"Subdominio","Principal")</f>
        <v/>
      </c>
      <c r="E59" s="5" t="inlineStr">
        <is>
          <t>Cancelar</t>
        </is>
      </c>
      <c r="F59" s="23" t="inlineStr">
        <is>
          <t>Revisar</t>
        </is>
      </c>
      <c r="G59" s="5" t="inlineStr">
        <is>
          <t>Estado Cancelar pero es el dominio exacto de marca (.com.pa): revisar backlinks antes de soltar; lo normal es 301 a playadoradaresidences.com</t>
        </is>
      </c>
      <c r="H59" s="5" t="inlineStr">
        <is>
          <t>Indexación (GSC/site:), backlinks y dominios de referencia (Ahrefs/Semrush)</t>
        </is>
      </c>
    </row>
    <row r="60" ht="19.9" customHeight="1">
      <c r="A60" s="7">
        <f t="array" ref="A60">ROW()-ROW(Hostings[#Headers])</f>
        <v/>
      </c>
      <c r="B60" s="2" t="inlineStr">
        <is>
          <t>playadoradaresidences.com</t>
        </is>
      </c>
      <c r="C60" s="3" t="inlineStr">
        <is>
          <t>Playa Dorada</t>
        </is>
      </c>
      <c r="D60" s="7">
        <f>IF(LEN(Hostings[[#This Row],[Dominio]])-LEN(SUBSTITUTE(Hostings[[#This Row],[Dominio]],".",""))&gt;IF(RIGHT(Hostings[[#This Row],[Dominio]],3)=".pa",2,1),"Subdominio","Principal")</f>
        <v/>
      </c>
      <c r="E60" s="5" t="inlineStr">
        <is>
          <t>Activo</t>
        </is>
      </c>
      <c r="F60" s="22" t="inlineStr">
        <is>
          <t>Dejar</t>
        </is>
      </c>
      <c r="G60" s="5" t="inlineStr">
        <is>
          <t>Dominio principal activo</t>
        </is>
      </c>
      <c r="H60" s="5" t="inlineStr">
        <is>
          <t>Indexación (GSC/site:), backlinks y dominios de referencia (Ahrefs/Semrush)</t>
        </is>
      </c>
    </row>
    <row r="61" ht="19.9" customHeight="1">
      <c r="A61" s="7">
        <f t="array" ref="A61">ROW()-ROW(Hostings[#Headers])</f>
        <v/>
      </c>
      <c r="B61" s="2" t="inlineStr">
        <is>
          <t>ribera.playadoradaresidences.com</t>
        </is>
      </c>
      <c r="C61" s="3" t="inlineStr">
        <is>
          <t>Playa Dorada</t>
        </is>
      </c>
      <c r="D61" s="7">
        <f>IF(LEN(Hostings[[#This Row],[Dominio]])-LEN(SUBSTITUTE(Hostings[[#This Row],[Dominio]],".",""))&gt;IF(RIGHT(Hostings[[#This Row],[Dominio]],3)=".pa",2,1),"Subdominio","Principal")</f>
        <v/>
      </c>
      <c r="E61" s="5" t="inlineStr">
        <is>
          <t>Cancelar</t>
        </is>
      </c>
      <c r="F61" s="5" t="inlineStr">
        <is>
          <t>Quitar del hosting</t>
        </is>
      </c>
      <c r="G61" s="5" t="inlineStr">
        <is>
          <t>Subdominio ya marcado como Cancelar; no afecta renovación (depende de playadoradaresidences.com)</t>
        </is>
      </c>
      <c r="H61" s="5" t="inlineStr"/>
    </row>
    <row r="62" ht="19.9" customHeight="1">
      <c r="A62" s="7">
        <f t="array" ref="A62">ROW()-ROW(Hostings[#Headers])</f>
        <v/>
      </c>
      <c r="B62" s="2" t="inlineStr">
        <is>
          <t>international.radissonrivierapanama.com</t>
        </is>
      </c>
      <c r="C62" s="3" t="inlineStr">
        <is>
          <t>Radisson Riviera</t>
        </is>
      </c>
      <c r="D62" s="7">
        <f>IF(LEN(Hostings[[#This Row],[Dominio]])-LEN(SUBSTITUTE(Hostings[[#This Row],[Dominio]],".",""))&gt;IF(RIGHT(Hostings[[#This Row],[Dominio]],3)=".pa",2,1),"Subdominio","Principal")</f>
        <v/>
      </c>
      <c r="E62" s="5" t="inlineStr">
        <is>
          <t>Activo</t>
        </is>
      </c>
      <c r="F62" s="5" t="inlineStr">
        <is>
          <t>Dejar (sigue a raíz)</t>
        </is>
      </c>
      <c r="G62" s="5" t="inlineStr">
        <is>
          <t>Subdominio activo: se conserva mientras se renueve radissonrivierapanama.com</t>
        </is>
      </c>
      <c r="H62" s="5" t="inlineStr"/>
    </row>
    <row r="63" ht="19.9" customHeight="1">
      <c r="A63" s="7">
        <f t="array" ref="A63">ROW()-ROW(Hostings[#Headers])</f>
        <v/>
      </c>
      <c r="B63" s="2" t="inlineStr">
        <is>
          <t>radissonrivierapanama.com</t>
        </is>
      </c>
      <c r="C63" s="3" t="inlineStr">
        <is>
          <t>Radisson Riviera</t>
        </is>
      </c>
      <c r="D63" s="7">
        <f>IF(LEN(Hostings[[#This Row],[Dominio]])-LEN(SUBSTITUTE(Hostings[[#This Row],[Dominio]],".",""))&gt;IF(RIGHT(Hostings[[#This Row],[Dominio]],3)=".pa",2,1),"Subdominio","Principal")</f>
        <v/>
      </c>
      <c r="E63" s="5" t="inlineStr">
        <is>
          <t>Activo</t>
        </is>
      </c>
      <c r="F63" s="22" t="inlineStr">
        <is>
          <t>Dejar</t>
        </is>
      </c>
      <c r="G63" s="5" t="inlineStr">
        <is>
          <t>Dominio principal; sostiene subdominio</t>
        </is>
      </c>
      <c r="H63" s="5" t="inlineStr">
        <is>
          <t>Indexación (GSC/site:), backlinks y dominios de referencia (Ahrefs/Semrush)</t>
        </is>
      </c>
    </row>
    <row r="64" ht="19.9" customHeight="1">
      <c r="A64" s="7">
        <f t="array" ref="A64">ROW()-ROW(Hostings[#Headers])</f>
        <v/>
      </c>
      <c r="B64" s="2" t="inlineStr">
        <is>
          <t>servicioscomunitarios.com.pa</t>
        </is>
      </c>
      <c r="C64" s="3" t="inlineStr">
        <is>
          <t>Servicios Comunitarios</t>
        </is>
      </c>
      <c r="D64" s="7">
        <f>IF(LEN(Hostings[[#This Row],[Dominio]])-LEN(SUBSTITUTE(Hostings[[#This Row],[Dominio]],".",""))&gt;IF(RIGHT(Hostings[[#This Row],[Dominio]],3)=".pa",2,1),"Subdominio","Principal")</f>
        <v/>
      </c>
      <c r="E64" s="5" t="inlineStr">
        <is>
          <t>Activo</t>
        </is>
      </c>
      <c r="F64" s="22" t="inlineStr">
        <is>
          <t>Dejar</t>
        </is>
      </c>
      <c r="G64" s="5" t="inlineStr">
        <is>
          <t>Dominio activo, .com.pa local</t>
        </is>
      </c>
      <c r="H64" s="5" t="inlineStr">
        <is>
          <t>Indexación (GSC/site:), backlinks y dominios de referencia (Ahrefs/Semrush)</t>
        </is>
      </c>
    </row>
    <row r="65" ht="19.9" customHeight="1">
      <c r="A65" s="7">
        <f t="array" ref="A65">ROW()-ROW(Hostings[#Headers])</f>
        <v/>
      </c>
      <c r="B65" s="2" t="inlineStr">
        <is>
          <t>space.com.pa</t>
        </is>
      </c>
      <c r="C65" s="3" t="inlineStr">
        <is>
          <t>Space Playworld</t>
        </is>
      </c>
      <c r="D65" s="7">
        <f>IF(LEN(Hostings[[#This Row],[Dominio]])-LEN(SUBSTITUTE(Hostings[[#This Row],[Dominio]],".",""))&gt;IF(RIGHT(Hostings[[#This Row],[Dominio]],3)=".pa",2,1),"Subdominio","Principal")</f>
        <v/>
      </c>
      <c r="E65" s="5" t="inlineStr">
        <is>
          <t>Activo</t>
        </is>
      </c>
      <c r="F65" s="22" t="inlineStr">
        <is>
          <t>Dejar</t>
        </is>
      </c>
      <c r="G65" s="5" t="inlineStr">
        <is>
          <t>Dominio activo, nombre corto de marca (.com.pa)</t>
        </is>
      </c>
      <c r="H65" s="5" t="inlineStr">
        <is>
          <t>Indexación (GSC/site:), backlinks y dominios de referencia (Ahrefs/Semrush)</t>
        </is>
      </c>
    </row>
    <row r="66" ht="19.9" customHeight="1">
      <c r="A66" s="7">
        <f t="array" ref="A66">ROW()-ROW(Hostings[#Headers])</f>
        <v/>
      </c>
      <c r="B66" s="2" t="inlineStr">
        <is>
          <t>supremestorage.net</t>
        </is>
      </c>
      <c r="C66" s="3" t="inlineStr">
        <is>
          <t>Supreme Storage</t>
        </is>
      </c>
      <c r="D66" s="7">
        <f>IF(LEN(Hostings[[#This Row],[Dominio]])-LEN(SUBSTITUTE(Hostings[[#This Row],[Dominio]],".",""))&gt;IF(RIGHT(Hostings[[#This Row],[Dominio]],3)=".pa",2,1),"Subdominio","Principal")</f>
        <v/>
      </c>
      <c r="E66" s="5" t="inlineStr">
        <is>
          <t>Activo</t>
        </is>
      </c>
      <c r="F66" s="22" t="inlineStr">
        <is>
          <t>Dejar</t>
        </is>
      </c>
      <c r="G66" s="5" t="inlineStr">
        <is>
          <t>Dominio activo con marca</t>
        </is>
      </c>
      <c r="H66" s="5" t="inlineStr">
        <is>
          <t>Indexación (GSC/site:), backlinks y dominios de referencia (Ahrefs/Semrush)</t>
        </is>
      </c>
    </row>
    <row r="67" ht="19.9" customHeight="1">
      <c r="A67" s="7">
        <f t="array" ref="A67">ROW()-ROW(Hostings[#Headers])</f>
        <v/>
      </c>
      <c r="B67" s="2" t="inlineStr">
        <is>
          <t>go.ventuhomtel.com</t>
        </is>
      </c>
      <c r="C67" s="3" t="inlineStr">
        <is>
          <t>Ventu Homtel</t>
        </is>
      </c>
      <c r="D67" s="7">
        <f>IF(LEN(Hostings[[#This Row],[Dominio]])-LEN(SUBSTITUTE(Hostings[[#This Row],[Dominio]],".",""))&gt;IF(RIGHT(Hostings[[#This Row],[Dominio]],3)=".pa",2,1),"Subdominio","Principal")</f>
        <v/>
      </c>
      <c r="E67" s="5" t="inlineStr">
        <is>
          <t>Cancelar</t>
        </is>
      </c>
      <c r="F67" s="5" t="inlineStr">
        <is>
          <t>Quitar del hosting</t>
        </is>
      </c>
      <c r="G67" s="5" t="inlineStr">
        <is>
          <t>Subdominio ya marcado como Cancelar; no afecta renovación (depende de ventuhomtel.com)</t>
        </is>
      </c>
      <c r="H67" s="5" t="inlineStr"/>
    </row>
    <row r="68" ht="19.9" customHeight="1">
      <c r="A68" s="7">
        <f t="array" ref="A68">ROW()-ROW(Hostings[#Headers])</f>
        <v/>
      </c>
      <c r="B68" s="2" t="inlineStr">
        <is>
          <t>gracias.ventuhomtel.com</t>
        </is>
      </c>
      <c r="C68" s="3" t="inlineStr">
        <is>
          <t>Ventu Homtel</t>
        </is>
      </c>
      <c r="D68" s="7">
        <f>IF(LEN(Hostings[[#This Row],[Dominio]])-LEN(SUBSTITUTE(Hostings[[#This Row],[Dominio]],".",""))&gt;IF(RIGHT(Hostings[[#This Row],[Dominio]],3)=".pa",2,1),"Subdominio","Principal")</f>
        <v/>
      </c>
      <c r="E68" s="5" t="inlineStr">
        <is>
          <t>Cancelar</t>
        </is>
      </c>
      <c r="F68" s="5" t="inlineStr">
        <is>
          <t>Quitar del hosting</t>
        </is>
      </c>
      <c r="G68" s="5" t="inlineStr">
        <is>
          <t>Subdominio ya marcado como Cancelar; no afecta renovación (depende de ventuhomtel.com)</t>
        </is>
      </c>
      <c r="H68" s="5" t="inlineStr"/>
    </row>
    <row r="69" ht="19.9" customHeight="1">
      <c r="A69" s="7">
        <f t="array" ref="A69">ROW()-ROW(Hostings[#Headers])</f>
        <v/>
      </c>
      <c r="B69" s="2" t="inlineStr">
        <is>
          <t>portafolio.ventuhomtel.com</t>
        </is>
      </c>
      <c r="C69" s="3" t="inlineStr">
        <is>
          <t>Ventu Homtel</t>
        </is>
      </c>
      <c r="D69" s="7">
        <f>IF(LEN(Hostings[[#This Row],[Dominio]])-LEN(SUBSTITUTE(Hostings[[#This Row],[Dominio]],".",""))&gt;IF(RIGHT(Hostings[[#This Row],[Dominio]],3)=".pa",2,1),"Subdominio","Principal")</f>
        <v/>
      </c>
      <c r="E69" s="5" t="inlineStr">
        <is>
          <t>Cancelar</t>
        </is>
      </c>
      <c r="F69" s="5" t="inlineStr">
        <is>
          <t>Quitar del hosting</t>
        </is>
      </c>
      <c r="G69" s="5" t="inlineStr">
        <is>
          <t>Subdominio ya marcado como Cancelar; no afecta renovación (depende de ventuhomtel.com)</t>
        </is>
      </c>
      <c r="H69" s="5" t="inlineStr"/>
    </row>
    <row r="70" ht="19.9" customHeight="1">
      <c r="A70" s="7">
        <f t="array" ref="A70">ROW()-ROW(Hostings[#Headers])</f>
        <v/>
      </c>
      <c r="B70" s="2" t="inlineStr">
        <is>
          <t>ventuhomtel.com</t>
        </is>
      </c>
      <c r="C70" s="3" t="inlineStr">
        <is>
          <t>Ventu Homtel</t>
        </is>
      </c>
      <c r="D70" s="7">
        <f>IF(LEN(Hostings[[#This Row],[Dominio]])-LEN(SUBSTITUTE(Hostings[[#This Row],[Dominio]],".",""))&gt;IF(RIGHT(Hostings[[#This Row],[Dominio]],3)=".pa",2,1),"Subdominio","Principal")</f>
        <v/>
      </c>
      <c r="E70" s="5" t="inlineStr">
        <is>
          <t>Activo</t>
        </is>
      </c>
      <c r="F70" s="22" t="inlineStr">
        <is>
          <t>Dejar</t>
        </is>
      </c>
      <c r="G70" s="5" t="inlineStr">
        <is>
          <t>Dominio principal; sostiene subdominios</t>
        </is>
      </c>
      <c r="H70" s="5" t="inlineStr">
        <is>
          <t>Indexación (GSC/site:), backlinks y dominios de referencia (Ahrefs/Semrush)</t>
        </is>
      </c>
    </row>
    <row r="71" ht="19.9" customHeight="1">
      <c r="A71" s="7">
        <f t="array" ref="A71">ROW()-ROW(Hostings[#Headers])</f>
        <v/>
      </c>
      <c r="B71" s="2" t="inlineStr">
        <is>
          <t>westlandmall.com.pa</t>
        </is>
      </c>
      <c r="C71" s="3" t="inlineStr">
        <is>
          <t>Westland Mall</t>
        </is>
      </c>
      <c r="D71" s="7">
        <f>IF(LEN(Hostings[[#This Row],[Dominio]])-LEN(SUBSTITUTE(Hostings[[#This Row],[Dominio]],".",""))&gt;IF(RIGHT(Hostings[[#This Row],[Dominio]],3)=".pa",2,1),"Subdominio","Principal")</f>
        <v/>
      </c>
      <c r="E71" s="5" t="inlineStr">
        <is>
          <t>Activo</t>
        </is>
      </c>
      <c r="F71" s="22" t="inlineStr">
        <is>
          <t>Dejar</t>
        </is>
      </c>
      <c r="G71" s="5" t="inlineStr">
        <is>
          <t>Marca de centro comercial, .com.pa local</t>
        </is>
      </c>
      <c r="H71" s="5" t="inlineStr">
        <is>
          <t>Indexación (GSC/site:), backlinks y dominios de referencia (Ahrefs/Semrush)</t>
        </is>
      </c>
    </row>
    <row r="74" ht="18.75" customHeight="1">
      <c r="B74" s="8" t="inlineStr">
        <is>
          <t>Resumen de Hostings</t>
        </is>
      </c>
    </row>
    <row r="75" ht="19.9" customHeight="1">
      <c r="B75" s="11" t="inlineStr">
        <is>
          <t>Tipo</t>
        </is>
      </c>
      <c r="C75" s="12" t="inlineStr">
        <is>
          <t>Activo</t>
        </is>
      </c>
      <c r="D75" s="12" t="inlineStr">
        <is>
          <t>Suspendido</t>
        </is>
      </c>
      <c r="E75" s="12" t="inlineStr">
        <is>
          <t>Cancelar</t>
        </is>
      </c>
      <c r="F75" s="12" t="inlineStr">
        <is>
          <t>Total</t>
        </is>
      </c>
    </row>
    <row r="76" ht="19.9" customHeight="1">
      <c r="B76" s="13" t="inlineStr">
        <is>
          <t>Principal</t>
        </is>
      </c>
      <c r="C76" s="14">
        <f>COUNTIFS(Hostings[[Tipo]:[Tipo]],$B76,Hostings[[Estado]:[Estado]],C$75)</f>
        <v/>
      </c>
      <c r="D76" s="14">
        <f>COUNTIFS(Hostings[[Tipo]:[Tipo]],$B76,Hostings[[Estado]:[Estado]],D$75)</f>
        <v/>
      </c>
      <c r="E76" s="14">
        <f>COUNTIFS(Hostings[[Tipo]:[Tipo]],$B76,Hostings[[Estado]:[Estado]],E$75)</f>
        <v/>
      </c>
      <c r="F76" s="15">
        <f>SUM(C76:E76)</f>
        <v/>
      </c>
    </row>
    <row r="77" ht="19.9" customHeight="1" thickBot="1">
      <c r="B77" s="16" t="inlineStr">
        <is>
          <t>Subdominio</t>
        </is>
      </c>
      <c r="C77" s="17">
        <f>COUNTIFS(Hostings[[Tipo]:[Tipo]],$B77,Hostings[[Estado]:[Estado]],C$75)</f>
        <v/>
      </c>
      <c r="D77" s="17">
        <f>COUNTIFS(Hostings[[Tipo]:[Tipo]],$B77,Hostings[[Estado]:[Estado]],D$75)</f>
        <v/>
      </c>
      <c r="E77" s="17">
        <f>COUNTIFS(Hostings[[Tipo]:[Tipo]],$B77,Hostings[[Estado]:[Estado]],E$75)</f>
        <v/>
      </c>
      <c r="F77" s="18">
        <f>SUM(C77:E77)</f>
        <v/>
      </c>
    </row>
    <row r="78" ht="19.9" customHeight="1">
      <c r="B78" s="19" t="inlineStr">
        <is>
          <t>Total</t>
        </is>
      </c>
      <c r="C78" s="20">
        <f>SUM(C76:C77)</f>
        <v/>
      </c>
      <c r="D78" s="20">
        <f>SUM(D76:D77)</f>
        <v/>
      </c>
      <c r="E78" s="20">
        <f>SUM(E76:E77)</f>
        <v/>
      </c>
      <c r="F78" s="20">
        <f>SUM(F76:F77)</f>
        <v/>
      </c>
    </row>
  </sheetData>
  <mergeCells count="1">
    <mergeCell ref="A1:E1"/>
  </mergeCells>
  <conditionalFormatting sqref="E3:E71">
    <cfRule type="containsText" priority="1" operator="containsText" dxfId="0" text="Activo">
      <formula>NOT(ISERROR(SEARCH("Activo",E3)))</formula>
    </cfRule>
    <cfRule type="containsText" priority="2" operator="containsText" dxfId="3" text="Suspendido">
      <formula>NOT(ISERROR(SEARCH("Suspendido",E3)))</formula>
    </cfRule>
    <cfRule type="containsText" priority="3" operator="containsText" dxfId="1" text="Cancelar">
      <formula>NOT(ISERROR(SEARCH("Cancelar",E3)))</formula>
    </cfRule>
  </conditionalFormatting>
  <dataValidations count="1">
    <dataValidation sqref="E3:E71" showDropDown="0" showInputMessage="1" showErrorMessage="1" allowBlank="1" type="list">
      <formula1>"Activo,Suspendido,Cancelar"</formula1>
    </dataValidation>
  </dataValidations>
  <hyperlinks>
    <hyperlink xmlns:r="http://schemas.openxmlformats.org/officeDocument/2006/relationships" ref="B3" tooltip="http://albrookbowling.com/" display="http://albrookbowling.com/" r:id="rId1"/>
    <hyperlink xmlns:r="http://schemas.openxmlformats.org/officeDocument/2006/relationships" ref="B4" tooltip="http://albrookmall.com/" display="http://albrookmall.com/" r:id="rId2"/>
    <hyperlink xmlns:r="http://schemas.openxmlformats.org/officeDocument/2006/relationships" ref="B5" tooltip="http://tombola.albrookmall.com/" display="http://tombola.albrookmall.com/" r:id="rId3"/>
    <hyperlink xmlns:r="http://schemas.openxmlformats.org/officeDocument/2006/relationships" ref="B6" tooltip="http://armoniapanama.com/" display="http://armoniapanama.com/" r:id="rId4"/>
    <hyperlink xmlns:r="http://schemas.openxmlformats.org/officeDocument/2006/relationships" ref="B7" tooltip="http://balboadistrict.armoniapanama.com/" display="http://balboadistrict.armoniapanama.com/" r:id="rId5"/>
    <hyperlink xmlns:r="http://schemas.openxmlformats.org/officeDocument/2006/relationships" ref="B8" tooltip="http://bayclubpanama.com/" display="http://bayclubpanama.com/" r:id="rId6"/>
    <hyperlink xmlns:r="http://schemas.openxmlformats.org/officeDocument/2006/relationships" ref="B9" tooltip="http://baysidepanama.com/" display="http://baysidepanama.com/" r:id="rId7"/>
    <hyperlink xmlns:r="http://schemas.openxmlformats.org/officeDocument/2006/relationships" ref="B10" tooltip="http://lotes.baysidepanama.com/" display="http://lotes.baysidepanama.com/" r:id="rId8"/>
    <hyperlink xmlns:r="http://schemas.openxmlformats.org/officeDocument/2006/relationships" ref="B11" tooltip="http://vive.baysidepanama.com/" display="http://vive.baysidepanama.com/" r:id="rId9"/>
    <hyperlink xmlns:r="http://schemas.openxmlformats.org/officeDocument/2006/relationships" ref="B12" tooltip="http://boscodisantamaria.com/" display="http://boscodisantamaria.com/" r:id="rId10"/>
    <hyperlink xmlns:r="http://schemas.openxmlformats.org/officeDocument/2006/relationships" ref="B13" tooltip="http://go.boscodisantamaria.com/" display="http://go.boscodisantamaria.com/" r:id="rId11"/>
    <hyperlink xmlns:r="http://schemas.openxmlformats.org/officeDocument/2006/relationships" ref="B14" tooltip="http://reservas.boscodisantamaria.com/" display="http://reservas.boscodisantamaria.com/" r:id="rId12"/>
    <hyperlink xmlns:r="http://schemas.openxmlformats.org/officeDocument/2006/relationships" ref="B15" tooltip="http://saladeventas.boscodisantamaria.com/" display="http://saladeventas.boscodisantamaria.com/" r:id="rId13"/>
    <hyperlink xmlns:r="http://schemas.openxmlformats.org/officeDocument/2006/relationships" ref="B16" tooltip="http://federalmall.com.pa/" display="http://federalmall.com.pa/" r:id="rId14"/>
    <hyperlink xmlns:r="http://schemas.openxmlformats.org/officeDocument/2006/relationships" ref="B17" tooltip="http://glp.com.pa/" display="http://glp.com.pa/" r:id="rId15"/>
    <hyperlink xmlns:r="http://schemas.openxmlformats.org/officeDocument/2006/relationships" ref="B18" tooltip="http://glpinternationalsales.com/" display="http://glpinternationalsales.com/" r:id="rId16"/>
    <hyperlink xmlns:r="http://schemas.openxmlformats.org/officeDocument/2006/relationships" ref="B19" tooltip="http://glppanamaresidency.com/" display="http://glppanamaresidency.com/" r:id="rId17"/>
    <hyperlink xmlns:r="http://schemas.openxmlformats.org/officeDocument/2006/relationships" ref="B20" tooltip="http://grantnt.com/" display="http://grantnt.com/" r:id="rId18"/>
    <hyperlink xmlns:r="http://schemas.openxmlformats.org/officeDocument/2006/relationships" ref="B21" tooltip="http://ipanemaresidences.com/" display="http://ipanemaresidences.com/" r:id="rId19"/>
    <hyperlink xmlns:r="http://schemas.openxmlformats.org/officeDocument/2006/relationships" ref="B22" tooltip="http://jardinesdelaespinoza.com/" display="http://jardinesdelaespinoza.com/" r:id="rId20"/>
    <hyperlink xmlns:r="http://schemas.openxmlformats.org/officeDocument/2006/relationships" ref="B23" tooltip="http://johnnyandreds.com/" display="http://johnnyandreds.com/" r:id="rId21"/>
    <hyperlink xmlns:r="http://schemas.openxmlformats.org/officeDocument/2006/relationships" ref="B24" tooltip="http://metrolibre.com/" display="http://metrolibre.com/" r:id="rId22"/>
    <hyperlink xmlns:r="http://schemas.openxmlformats.org/officeDocument/2006/relationships" ref="B25" tooltip="http://oceanfrontpty.com/" display="http://oceanfrontpty.com/" r:id="rId23"/>
    <hyperlink xmlns:r="http://schemas.openxmlformats.org/officeDocument/2006/relationships" ref="B26" tooltip="http://apartments.oceanreefpark.com/" display="http://apartments.oceanreefpark.com/" r:id="rId24"/>
    <hyperlink xmlns:r="http://schemas.openxmlformats.org/officeDocument/2006/relationships" ref="B27" tooltip="http://casadelmar.oceanreefislands.com/" display="http://casadelmar.oceanreefislands.com/" r:id="rId25"/>
    <hyperlink xmlns:r="http://schemas.openxmlformats.org/officeDocument/2006/relationships" ref="B28" tooltip="http://cityvillas.oceanreefislands.com/" display="http://cityvillas.oceanreefislands.com/" r:id="rId26"/>
    <hyperlink xmlns:r="http://schemas.openxmlformats.org/officeDocument/2006/relationships" ref="B29" tooltip="http://general.oceanreefislands.com/" display="http://general.oceanreefislands.com/" r:id="rId27"/>
    <hyperlink xmlns:r="http://schemas.openxmlformats.org/officeDocument/2006/relationships" ref="B30" tooltip="http://lifestyle.oceanreefislands.com/" display="http://lifestyle.oceanreefislands.com/" r:id="rId28"/>
    <hyperlink xmlns:r="http://schemas.openxmlformats.org/officeDocument/2006/relationships" ref="B31" tooltip="http://oceanreefislands.com/" display="http://oceanreefislands.com/" r:id="rId29"/>
    <hyperlink xmlns:r="http://schemas.openxmlformats.org/officeDocument/2006/relationships" ref="B32" tooltip="http://oceanreefmarina.com.pa/" display="http://oceanreefmarina.com.pa/" r:id="rId30"/>
    <hyperlink xmlns:r="http://schemas.openxmlformats.org/officeDocument/2006/relationships" ref="B33" tooltip="http://oclubresidences.com/" display="http://oclubresidences.com/" r:id="rId31"/>
    <hyperlink xmlns:r="http://schemas.openxmlformats.org/officeDocument/2006/relationships" ref="B34" tooltip="http://rentals.oceanreefislands.com/" display="http://rentals.oceanreefislands.com/" r:id="rId32"/>
    <hyperlink xmlns:r="http://schemas.openxmlformats.org/officeDocument/2006/relationships" ref="B35" tooltip="http://seascape.oceanreefislands.com/" display="http://seascape.oceanreefislands.com/" r:id="rId33"/>
    <hyperlink xmlns:r="http://schemas.openxmlformats.org/officeDocument/2006/relationships" ref="B36" tooltip="http://thepalmsbeachresort.oceanreefislands.com/" display="http://thepalmsbeachresort.oceanreefislands.com/" r:id="rId34"/>
    <hyperlink xmlns:r="http://schemas.openxmlformats.org/officeDocument/2006/relationships" ref="B37" tooltip="http://townhouses.oceanreefpark.com/" display="http://townhouses.oceanreefpark.com/" r:id="rId35"/>
    <hyperlink xmlns:r="http://schemas.openxmlformats.org/officeDocument/2006/relationships" ref="B38" tooltip="http://oceanseriessantamaria.com/" display="http://oceanseriessantamaria.com/" r:id="rId36"/>
    <hyperlink xmlns:r="http://schemas.openxmlformats.org/officeDocument/2006/relationships" ref="B39" tooltip="http://oceanasantamaria.com/" display="http://oceanasantamaria.com/" r:id="rId37"/>
    <hyperlink xmlns:r="http://schemas.openxmlformats.org/officeDocument/2006/relationships" ref="B40" tooltip="http://penthousescollection.oceanasantamaria.com/" display="http://penthousescollection.oceanasantamaria.com/" r:id="rId38"/>
    <hyperlink xmlns:r="http://schemas.openxmlformats.org/officeDocument/2006/relationships" ref="B41" tooltip="http://superbliving.oceanasantamaria.com/" display="http://superbliving.oceanasantamaria.com/" r:id="rId39"/>
    <hyperlink xmlns:r="http://schemas.openxmlformats.org/officeDocument/2006/relationships" ref="B42" tooltip="http://panamaviejobusinesscenter.com/" display="http://panamaviejobusinesscenter.com/" r:id="rId40"/>
    <hyperlink xmlns:r="http://schemas.openxmlformats.org/officeDocument/2006/relationships" ref="B43" tooltip="http://panamaviejoresidences.com/" display="http://panamaviejoresidences.com/" r:id="rId41"/>
    <hyperlink xmlns:r="http://schemas.openxmlformats.org/officeDocument/2006/relationships" ref="B44" tooltip="http://beachwalkplayacaracol.com/" display="http://beachwalkplayacaracol.com/" r:id="rId42"/>
    <hyperlink xmlns:r="http://schemas.openxmlformats.org/officeDocument/2006/relationships" ref="B45" tooltip="http://caracollifestyle.com/" display="http://caracollifestyle.com/" r:id="rId43"/>
    <hyperlink xmlns:r="http://schemas.openxmlformats.org/officeDocument/2006/relationships" ref="B46" tooltip="http://colecciondelmar.com/" display="http://colecciondelmar.com/" r:id="rId44"/>
    <hyperlink xmlns:r="http://schemas.openxmlformats.org/officeDocument/2006/relationships" ref="B47" tooltip="http://colombia.playacaracolresorts.com/" display="http://colombia.playacaracolresorts.com/" r:id="rId45"/>
    <hyperlink xmlns:r="http://schemas.openxmlformats.org/officeDocument/2006/relationships" ref="B48" tooltip="http://discoverplayacaracol.com/" display="http://discoverplayacaracol.com/" r:id="rId46"/>
    <hyperlink xmlns:r="http://schemas.openxmlformats.org/officeDocument/2006/relationships" ref="B49" tooltip="http://explora.playacaracolresidences.com/" display="http://explora.playacaracolresidences.com/" r:id="rId47"/>
    <hyperlink xmlns:r="http://schemas.openxmlformats.org/officeDocument/2006/relationships" ref="B50" tooltip="http://horizonsescapes.com/" display="http://horizonsescapes.com/" r:id="rId48"/>
    <hyperlink xmlns:r="http://schemas.openxmlformats.org/officeDocument/2006/relationships" ref="B51" tooltip="http://infoplayacaracol.com/" display="http://infoplayacaracol.com/" r:id="rId49"/>
    <hyperlink xmlns:r="http://schemas.openxmlformats.org/officeDocument/2006/relationships" ref="B52" tooltip="http://international.playacaracolrentals.com/" display="http://international.playacaracolrentals.com/" r:id="rId50"/>
    <hyperlink xmlns:r="http://schemas.openxmlformats.org/officeDocument/2006/relationships" ref="B53" tooltip="http://playacaracolrentals.com/" display="http://playacaracolrentals.com/" r:id="rId51"/>
    <hyperlink xmlns:r="http://schemas.openxmlformats.org/officeDocument/2006/relationships" ref="B54" tooltip="http://playacaracolresidences.com/" display="http://playacaracolresidences.com/" r:id="rId52"/>
    <hyperlink xmlns:r="http://schemas.openxmlformats.org/officeDocument/2006/relationships" ref="B55" tooltip="http://playacaracolresorts.com/" display="http://playacaracolresorts.com/" r:id="rId53"/>
    <hyperlink xmlns:r="http://schemas.openxmlformats.org/officeDocument/2006/relationships" ref="B56" tooltip="http://seashoreplayacaracol.com/" display="http://seashoreplayacaracol.com/" r:id="rId54"/>
    <hyperlink xmlns:r="http://schemas.openxmlformats.org/officeDocument/2006/relationships" ref="B57" tooltip="http://surfsideplayacaracol.com/" display="http://surfsideplayacaracol.com/" r:id="rId55"/>
    <hyperlink xmlns:r="http://schemas.openxmlformats.org/officeDocument/2006/relationships" ref="B58" tooltip="http://thetidesatcaracol.com/" display="http://thetidesatcaracol.com/" r:id="rId56"/>
    <hyperlink xmlns:r="http://schemas.openxmlformats.org/officeDocument/2006/relationships" ref="B59" tooltip="http://playadorada.com.pa/" display="http://playadorada.com.pa/" r:id="rId57"/>
    <hyperlink xmlns:r="http://schemas.openxmlformats.org/officeDocument/2006/relationships" ref="B60" tooltip="http://playadoradaresidences.com/" display="http://playadoradaresidences.com/" r:id="rId58"/>
    <hyperlink xmlns:r="http://schemas.openxmlformats.org/officeDocument/2006/relationships" ref="B61" tooltip="http://ribera.playadoradaresidences.com/" display="http://ribera.playadoradaresidences.com/" r:id="rId59"/>
    <hyperlink xmlns:r="http://schemas.openxmlformats.org/officeDocument/2006/relationships" ref="B62" tooltip="http://international.radissonrivierapanama.com/" display="http://international.radissonrivierapanama.com/" r:id="rId60"/>
    <hyperlink xmlns:r="http://schemas.openxmlformats.org/officeDocument/2006/relationships" ref="B63" tooltip="http://radissonrivierapanama.com/" display="http://radissonrivierapanama.com/" r:id="rId61"/>
    <hyperlink xmlns:r="http://schemas.openxmlformats.org/officeDocument/2006/relationships" ref="B64" tooltip="http://servicioscomunitarios.com.pa/" display="http://servicioscomunitarios.com.pa/" r:id="rId62"/>
    <hyperlink xmlns:r="http://schemas.openxmlformats.org/officeDocument/2006/relationships" ref="B65" tooltip="http://space.com.pa/" display="http://space.com.pa/" r:id="rId63"/>
    <hyperlink xmlns:r="http://schemas.openxmlformats.org/officeDocument/2006/relationships" ref="B66" tooltip="http://supremestorage.net/" display="http://supremestorage.net/" r:id="rId64"/>
    <hyperlink xmlns:r="http://schemas.openxmlformats.org/officeDocument/2006/relationships" ref="B67" tooltip="http://go.ventuhomtel.com/" display="http://go.ventuhomtel.com/" r:id="rId65"/>
    <hyperlink xmlns:r="http://schemas.openxmlformats.org/officeDocument/2006/relationships" ref="B68" tooltip="http://gracias.ventuhomtel.com/" display="http://gracias.ventuhomtel.com/" r:id="rId66"/>
    <hyperlink xmlns:r="http://schemas.openxmlformats.org/officeDocument/2006/relationships" ref="B69" tooltip="http://portafolio.ventuhomtel.com/" display="http://portafolio.ventuhomtel.com/" r:id="rId67"/>
    <hyperlink xmlns:r="http://schemas.openxmlformats.org/officeDocument/2006/relationships" ref="B70" tooltip="http://ventuhomtel.com/" display="http://ventuhomtel.com/" r:id="rId68"/>
    <hyperlink xmlns:r="http://schemas.openxmlformats.org/officeDocument/2006/relationships" ref="B71" tooltip="http://westlandmall.com.pa/" display="http://westlandmall.com.pa/" r:id="rId69"/>
  </hyperlinks>
  <pageMargins left="0.7" right="0.7" top="0.75" bottom="0.75" header="0.3" footer="0.3"/>
  <tableParts count="1">
    <tablePart xmlns:r="http://schemas.openxmlformats.org/officeDocument/2006/relationships" r:id="rId7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2" topLeftCell="A3" activePane="bottomLeft" state="frozen"/>
      <selection pane="bottomLeft" activeCell="G16" sqref="G16"/>
    </sheetView>
  </sheetViews>
  <sheetFormatPr baseColWidth="10" defaultRowHeight="15.75"/>
  <cols>
    <col width="5.75" customWidth="1" min="1" max="1"/>
    <col width="36.75" customWidth="1" min="2" max="2"/>
    <col width="15" customWidth="1" min="3" max="3"/>
    <col width="3.25" customWidth="1" min="4" max="4"/>
    <col width="15" customWidth="1" min="5" max="7"/>
  </cols>
  <sheetData>
    <row r="1" ht="30" customHeight="1">
      <c r="A1" s="10">
        <f>"Inventario de Instagram  |  Total: "&amp;ROWS(Instagram[Cuenta])&amp;"  |  Activos: "&amp;COUNTIF(Instagram[Status],"Activo")&amp;"  |  Inactivos: "&amp;COUNTIF(Instagram[Status],"Inactivo")</f>
        <v/>
      </c>
    </row>
    <row r="2" ht="19.9" customHeight="1">
      <c r="A2" s="4" t="inlineStr">
        <is>
          <t>#</t>
        </is>
      </c>
      <c r="B2" s="1" t="inlineStr">
        <is>
          <t>Cuenta</t>
        </is>
      </c>
      <c r="C2" s="4" t="inlineStr">
        <is>
          <t>Status</t>
        </is>
      </c>
    </row>
    <row r="3" ht="19.9" customHeight="1">
      <c r="A3" s="6">
        <f t="array" ref="A3">ROW()-ROW(Instagram[#Headers])</f>
        <v/>
      </c>
      <c r="B3" s="9" t="inlineStr">
        <is>
          <t>bayclubpd</t>
        </is>
      </c>
      <c r="C3" s="6" t="inlineStr">
        <is>
          <t>Activo</t>
        </is>
      </c>
    </row>
    <row r="4" ht="19.9" customHeight="1">
      <c r="A4" s="6">
        <f t="array" ref="A4">ROW()-ROW(Instagram[#Headers])</f>
        <v/>
      </c>
      <c r="B4" s="9" t="inlineStr">
        <is>
          <t>glp_grupolospueblos</t>
        </is>
      </c>
      <c r="C4" s="6" t="inlineStr">
        <is>
          <t>Inactivo</t>
        </is>
      </c>
    </row>
    <row r="5" ht="19.9" customHeight="1">
      <c r="A5" s="6">
        <f t="array" ref="A5">ROW()-ROW(Instagram[#Headers])</f>
        <v/>
      </c>
      <c r="B5" s="9" t="inlineStr">
        <is>
          <t>infoproyectospty</t>
        </is>
      </c>
      <c r="C5" s="6" t="inlineStr">
        <is>
          <t>Activo</t>
        </is>
      </c>
    </row>
    <row r="6" ht="19.9" customHeight="1">
      <c r="A6" s="6">
        <f t="array" ref="A6">ROW()-ROW(Instagram[#Headers])</f>
        <v/>
      </c>
      <c r="B6" s="9" t="inlineStr">
        <is>
          <t>jdechorrera</t>
        </is>
      </c>
      <c r="C6" s="6" t="inlineStr">
        <is>
          <t>Inactivo</t>
        </is>
      </c>
    </row>
    <row r="7" ht="19.9" customHeight="1">
      <c r="A7" s="6">
        <f t="array" ref="A7">ROW()-ROW(Instagram[#Headers])</f>
        <v/>
      </c>
      <c r="B7" s="9" t="inlineStr">
        <is>
          <t>panamaviejoresidences</t>
        </is>
      </c>
      <c r="C7" s="6" t="inlineStr">
        <is>
          <t>Activo</t>
        </is>
      </c>
    </row>
    <row r="8" ht="19.9" customHeight="1">
      <c r="A8" s="6">
        <f t="array" ref="A8">ROW()-ROW(Instagram[#Headers])</f>
        <v/>
      </c>
      <c r="B8" s="9" t="inlineStr">
        <is>
          <t>supremestoragepty</t>
        </is>
      </c>
      <c r="C8" s="6" t="inlineStr">
        <is>
          <t>Activo</t>
        </is>
      </c>
    </row>
    <row r="9" ht="19.9" customHeight="1">
      <c r="A9" s="6">
        <f t="array" ref="A9">ROW()-ROW(Instagram[#Headers])</f>
        <v/>
      </c>
      <c r="B9" s="9" t="inlineStr">
        <is>
          <t>ipanemaresidences</t>
        </is>
      </c>
      <c r="C9" s="6" t="inlineStr">
        <is>
          <t>Activo</t>
        </is>
      </c>
    </row>
    <row r="10" ht="19.9" customHeight="1">
      <c r="A10" s="6">
        <f t="array" ref="A10">ROW()-ROW(Instagram[#Headers])</f>
        <v/>
      </c>
      <c r="B10" s="9" t="inlineStr">
        <is>
          <t>proyectoambienteglp</t>
        </is>
      </c>
      <c r="C10" s="6" t="inlineStr">
        <is>
          <t>Inactivo</t>
        </is>
      </c>
    </row>
    <row r="11" ht="19.9" customHeight="1">
      <c r="A11" s="6">
        <f t="array" ref="A11">ROW()-ROW(Instagram[#Headers])</f>
        <v/>
      </c>
      <c r="B11" s="9" t="inlineStr">
        <is>
          <t>Armonia_Vibe</t>
        </is>
      </c>
      <c r="C11" s="6" t="inlineStr">
        <is>
          <t>Activo</t>
        </is>
      </c>
    </row>
    <row r="12" ht="19.9" customHeight="1">
      <c r="A12" s="6">
        <f t="array" ref="A12">ROW()-ROW(Instagram[#Headers])</f>
        <v/>
      </c>
      <c r="B12" s="9" t="inlineStr">
        <is>
          <t>bayside_panama</t>
        </is>
      </c>
      <c r="C12" s="6" t="inlineStr">
        <is>
          <t>Activo</t>
        </is>
      </c>
    </row>
    <row r="13" ht="19.9" customHeight="1">
      <c r="A13" s="6">
        <f t="array" ref="A13">ROW()-ROW(Instagram[#Headers])</f>
        <v/>
      </c>
      <c r="B13" s="9" t="inlineStr">
        <is>
          <t>cocoplacepanama</t>
        </is>
      </c>
      <c r="C13" s="6" t="inlineStr">
        <is>
          <t>Inactivo</t>
        </is>
      </c>
    </row>
    <row r="14" ht="19.9" customHeight="1">
      <c r="A14" s="6">
        <f t="array" ref="A14">ROW()-ROW(Instagram[#Headers])</f>
        <v/>
      </c>
      <c r="B14" s="9" t="inlineStr">
        <is>
          <t>embassyvillage_pa</t>
        </is>
      </c>
      <c r="C14" s="6" t="inlineStr">
        <is>
          <t>Inactivo</t>
        </is>
      </c>
    </row>
    <row r="15" ht="19.9" customHeight="1">
      <c r="A15" s="6">
        <f t="array" ref="A15">ROW()-ROW(Instagram[#Headers])</f>
        <v/>
      </c>
      <c r="B15" s="9" t="inlineStr">
        <is>
          <t>grupolospueblos</t>
        </is>
      </c>
      <c r="C15" s="6" t="inlineStr">
        <is>
          <t>Activo</t>
        </is>
      </c>
    </row>
    <row r="16" ht="19.9" customHeight="1">
      <c r="A16" s="6">
        <f t="array" ref="A16">ROW()-ROW(Instagram[#Headers])</f>
        <v/>
      </c>
      <c r="B16" s="9" t="inlineStr">
        <is>
          <t>jardinesdelaespinoza</t>
        </is>
      </c>
      <c r="C16" s="6" t="inlineStr">
        <is>
          <t>Activo</t>
        </is>
      </c>
    </row>
    <row r="17" ht="19.9" customHeight="1">
      <c r="A17" s="6">
        <f t="array" ref="A17">ROW()-ROW(Instagram[#Headers])</f>
        <v/>
      </c>
      <c r="B17" s="9" t="inlineStr">
        <is>
          <t>marinaoceanreef</t>
        </is>
      </c>
      <c r="C17" s="6" t="inlineStr">
        <is>
          <t>Inactivo</t>
        </is>
      </c>
    </row>
    <row r="18" ht="19.9" customHeight="1">
      <c r="A18" s="6">
        <f t="array" ref="A18">ROW()-ROW(Instagram[#Headers])</f>
        <v/>
      </c>
      <c r="B18" s="9" t="inlineStr">
        <is>
          <t>oceana_santamaria</t>
        </is>
      </c>
      <c r="C18" s="6" t="inlineStr">
        <is>
          <t>Activo</t>
        </is>
      </c>
    </row>
    <row r="19" ht="19.9" customHeight="1">
      <c r="A19" s="6">
        <f t="array" ref="A19">ROW()-ROW(Instagram[#Headers])</f>
        <v/>
      </c>
      <c r="B19" s="9" t="inlineStr">
        <is>
          <t>oceanfrontpa</t>
        </is>
      </c>
      <c r="C19" s="6" t="inlineStr">
        <is>
          <t>Inactivo</t>
        </is>
      </c>
    </row>
    <row r="20" ht="19.9" customHeight="1">
      <c r="A20" s="6">
        <f t="array" ref="A20">ROW()-ROW(Instagram[#Headers])</f>
        <v/>
      </c>
      <c r="B20" s="9" t="inlineStr">
        <is>
          <t>oceanhousepanama</t>
        </is>
      </c>
      <c r="C20" s="6" t="inlineStr">
        <is>
          <t>Inactivo</t>
        </is>
      </c>
    </row>
    <row r="21" ht="19.9" customHeight="1">
      <c r="A21" s="6">
        <f t="array" ref="A21">ROW()-ROW(Instagram[#Headers])</f>
        <v/>
      </c>
      <c r="B21" s="9" t="inlineStr">
        <is>
          <t>oceanreefislands</t>
        </is>
      </c>
      <c r="C21" s="6" t="inlineStr">
        <is>
          <t>Activo</t>
        </is>
      </c>
    </row>
    <row r="22" ht="19.9" customHeight="1">
      <c r="A22" s="6">
        <f t="array" ref="A22">ROW()-ROW(Instagram[#Headers])</f>
        <v/>
      </c>
      <c r="B22" s="9" t="inlineStr">
        <is>
          <t>playacaracolrentals</t>
        </is>
      </c>
      <c r="C22" s="6" t="inlineStr">
        <is>
          <t>Activo</t>
        </is>
      </c>
    </row>
    <row r="23" ht="19.9" customHeight="1">
      <c r="A23" s="6">
        <f t="array" ref="A23">ROW()-ROW(Instagram[#Headers])</f>
        <v/>
      </c>
      <c r="B23" s="9" t="inlineStr">
        <is>
          <t>Boscodisantamaria</t>
        </is>
      </c>
      <c r="C23" s="6" t="inlineStr">
        <is>
          <t>Activo</t>
        </is>
      </c>
    </row>
    <row r="24" ht="19.9" customHeight="1">
      <c r="A24" s="6">
        <f t="array" ref="A24">ROW()-ROW(Instagram[#Headers])</f>
        <v/>
      </c>
      <c r="B24" s="9" t="inlineStr">
        <is>
          <t>thewavesrestaurantandbar</t>
        </is>
      </c>
      <c r="C24" s="6" t="inlineStr">
        <is>
          <t>Inactivo</t>
        </is>
      </c>
    </row>
    <row r="25" ht="19.9" customHeight="1">
      <c r="A25" s="6">
        <f t="array" ref="A25">ROW()-ROW(Instagram[#Headers])</f>
        <v/>
      </c>
      <c r="B25" s="9" t="inlineStr">
        <is>
          <t>villasurpanama</t>
        </is>
      </c>
      <c r="C25" s="6" t="inlineStr">
        <is>
          <t>Inactivo</t>
        </is>
      </c>
    </row>
    <row r="26" ht="19.9" customHeight="1">
      <c r="A26" s="6">
        <f t="array" ref="A26">ROW()-ROW(Instagram[#Headers])</f>
        <v/>
      </c>
      <c r="B26" s="9" t="inlineStr">
        <is>
          <t>playacaracolchame</t>
        </is>
      </c>
      <c r="C26" s="6" t="inlineStr">
        <is>
          <t>Activo</t>
        </is>
      </c>
    </row>
    <row r="27" ht="19.9" customHeight="1">
      <c r="A27" s="6">
        <f t="array" ref="A27">ROW()-ROW(Instagram[#Headers])</f>
        <v/>
      </c>
      <c r="B27" s="9" t="inlineStr">
        <is>
          <t>Surfsideventas</t>
        </is>
      </c>
      <c r="C27" s="6" t="inlineStr">
        <is>
          <t>Inactivo</t>
        </is>
      </c>
    </row>
    <row r="28" ht="19.9" customHeight="1">
      <c r="A28" s="6">
        <f t="array" ref="A28">ROW()-ROW(Instagram[#Headers])</f>
        <v/>
      </c>
      <c r="B28" s="9" t="inlineStr">
        <is>
          <t>playadorada_pa</t>
        </is>
      </c>
      <c r="C28" s="6" t="inlineStr">
        <is>
          <t>Activo</t>
        </is>
      </c>
    </row>
    <row r="29" ht="19.9" customHeight="1">
      <c r="A29" s="6">
        <f t="array" ref="A29">ROW()-ROW(Instagram[#Headers])</f>
        <v/>
      </c>
      <c r="B29" s="9" t="inlineStr">
        <is>
          <t>ventoclub</t>
        </is>
      </c>
      <c r="C29" s="6" t="inlineStr">
        <is>
          <t>Activo</t>
        </is>
      </c>
    </row>
    <row r="30">
      <c r="A30" s="6">
        <f t="array" ref="A30">ROW()-ROW(Instagram[#Headers])</f>
        <v/>
      </c>
      <c r="B30" s="9" t="inlineStr">
        <is>
          <t>Radissonriverapanama</t>
        </is>
      </c>
      <c r="C30" s="6" t="inlineStr">
        <is>
          <t>Activo</t>
        </is>
      </c>
    </row>
    <row r="31">
      <c r="A31" s="6">
        <f t="array" ref="A31">ROW()-ROW(Instagram[#Headers])</f>
        <v/>
      </c>
      <c r="B31" s="9" t="inlineStr">
        <is>
          <t xml:space="preserve">Thetides.playacaracol </t>
        </is>
      </c>
      <c r="C31" s="6" t="inlineStr">
        <is>
          <t>Inactivo</t>
        </is>
      </c>
    </row>
    <row r="32">
      <c r="A32" s="6">
        <f t="array" ref="A32">ROW()-ROW(Instagram[#Headers])</f>
        <v/>
      </c>
      <c r="B32" s="9" t="inlineStr">
        <is>
          <t xml:space="preserve">Beachwalk Playa Caracol </t>
        </is>
      </c>
      <c r="C32" s="6" t="inlineStr">
        <is>
          <t>Inactivo</t>
        </is>
      </c>
    </row>
    <row r="33">
      <c r="A33" s="6">
        <f t="array" ref="A33">ROW()-ROW(Instagram[#Headers])</f>
        <v/>
      </c>
      <c r="B33" s="9" t="inlineStr">
        <is>
          <t>Seashore.playacaracol</t>
        </is>
      </c>
      <c r="C33" s="6" t="inlineStr">
        <is>
          <t>Inactivo</t>
        </is>
      </c>
    </row>
    <row r="34">
      <c r="A34" s="6">
        <f t="array" ref="A34">ROW()-ROW(Instagram[#Headers])</f>
        <v/>
      </c>
      <c r="B34" s="9" t="inlineStr">
        <is>
          <t xml:space="preserve">Discover Casa Caracol </t>
        </is>
      </c>
      <c r="C34" s="6" t="inlineStr">
        <is>
          <t>Inactivo</t>
        </is>
      </c>
    </row>
  </sheetData>
  <conditionalFormatting sqref="C3:C34">
    <cfRule type="containsText" priority="1" operator="containsText" dxfId="1" text="Inactivo">
      <formula>NOT(ISERROR(SEARCH("Inactivo",C3)))</formula>
    </cfRule>
    <cfRule type="containsText" priority="2" operator="containsText" dxfId="0" text="Activo">
      <formula>NOT(ISERROR(SEARCH("Activo",C3)))</formula>
    </cfRule>
  </conditionalFormatting>
  <dataValidations count="1">
    <dataValidation sqref="C3:C34" showDropDown="0" showInputMessage="1" showErrorMessage="1" allowBlank="1" type="list">
      <formula1>"Activo,Inactivo"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Malek El Hamra</dc:creator>
  <dcterms:created xmlns:dcterms="http://purl.org/dc/terms/" xmlns:xsi="http://www.w3.org/2001/XMLSchema-instance" xsi:type="dcterms:W3CDTF">2026-09-29T00:46:33Z</dcterms:created>
  <dcterms:modified xmlns:dcterms="http://purl.org/dc/terms/" xmlns:xsi="http://www.w3.org/2001/XMLSchema-instance" xsi:type="dcterms:W3CDTF">2026-10-24T14:44:37Z</dcterms:modified>
  <cp:lastModifiedBy>Juan Mejia</cp:lastModifiedBy>
</cp:coreProperties>
</file>